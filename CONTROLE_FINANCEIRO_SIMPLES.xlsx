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LANÇAMENTOS" sheetId="2" state="visible" r:id="rId2"/>
    <sheet name="CARTÕES" sheetId="3" state="visible" r:id="rId3"/>
    <sheet name="RESUMO MENSAL" sheetId="4" state="visible" r:id="rId4"/>
    <sheet name="RESUMO ANUAL" sheetId="5" state="visible" r:id="rId5"/>
    <sheet name="EXEMPLO" sheetId="6" state="visible" r:id="rId6"/>
    <sheet name="PARCELAS" sheetId="7" state="visible" r:id="rId7"/>
    <sheet name="LIS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Gs. &quot;#,##0;-&quot;Gs. &quot;#,##0;&quot;Gs. &quot;0"/>
    <numFmt numFmtId="165" formatCode="DD/MM/YYYY"/>
    <numFmt numFmtId="166" formatCode="#,##0;-#,##0;&quot;&quot;"/>
    <numFmt numFmtId="167" formatCode="&quot;Gs. &quot;#,##0;-&quot;Gs. &quot;#,##0;&quot;&quot;"/>
    <numFmt numFmtId="168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b val="1"/>
      <color rgb="001F3864"/>
      <sz val="12"/>
    </font>
    <font>
      <name val="Calibri"/>
      <sz val="11"/>
    </font>
    <font>
      <b val="1"/>
      <sz val="11"/>
    </font>
    <font>
      <color rgb="009C0006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4"/>
    </font>
    <font>
      <name val="Calibri"/>
      <i val="1"/>
      <color rgb="007F7F7F"/>
      <sz val="11"/>
    </font>
    <font>
      <b val="1"/>
      <color rgb="001F3864"/>
      <sz val="16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  <xf numFmtId="167" fontId="8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167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" fontId="9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11" fillId="2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7" fontId="8" fillId="6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/>
    </xf>
    <xf numFmtId="167" fontId="10" fillId="7" borderId="1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ont>
        <b val="1"/>
        <color rgb="009C0006"/>
        <sz val="16"/>
      </font>
    </dxf>
    <dxf>
      <font>
        <b val="1"/>
        <color rgb="009C0006"/>
      </font>
      <fill>
        <patternFill patternType="solid">
          <fgColor rgb="00FCE4E4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Planilha</author>
  </authors>
  <commentList>
    <comment ref="C6" authorId="0" shapeId="0">
      <text>
        <t>REALIZADO = já entrou ou já saiu.
PROJETADO = ainda vai acontecer.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4" customHeight="1">
      <c r="A1" s="1" t="inlineStr">
        <is>
          <t>CONTROLE FINANCEIRO — ENTRADA, SAÍDA E CARTÃO</t>
        </is>
      </c>
    </row>
    <row r="2">
      <c r="A2" s="2" t="inlineStr">
        <is>
          <t>Moeda: Guaraní (Gs.)  ·  Ano-base: 2026</t>
        </is>
      </c>
    </row>
    <row r="4" ht="17" customHeight="1">
      <c r="B4" s="3" t="inlineStr">
        <is>
          <t>AS 3 REGRAS QUE FAZEM A PLANILHA FECHAR</t>
        </is>
      </c>
    </row>
    <row r="5" ht="17" customHeight="1">
      <c r="B5" s="4" t="inlineStr">
        <is>
          <t>1) Dinheiro que entra ou sai da sua mão / conta → lança na aba LANÇAMENTOS.</t>
        </is>
      </c>
    </row>
    <row r="6" ht="17" customHeight="1">
      <c r="B6" s="4" t="inlineStr">
        <is>
          <t>2) Compra no cartão de crédito → lança SÓ na aba CARTÕES. Não repita em LANÇAMENTOS.</t>
        </is>
      </c>
    </row>
    <row r="7" ht="17" customHeight="1">
      <c r="B7" s="4" t="inlineStr">
        <is>
          <t xml:space="preserve">   A planilha divide a compra nas parcelas e joga cada parcela no mês certo, sozinha.</t>
        </is>
      </c>
    </row>
    <row r="8" ht="17" customHeight="1">
      <c r="B8" s="4" t="inlineStr">
        <is>
          <t>3) Quando você paga a fatura do cartão, NÃO lance nada. A parcela já foi contada no mês dela.</t>
        </is>
      </c>
    </row>
    <row r="9" ht="17" customHeight="1">
      <c r="B9" s="5" t="inlineStr">
        <is>
          <t>Seguindo essas 3 regras é impossível contar o mesmo gasto duas vezes.</t>
        </is>
      </c>
    </row>
    <row r="10" ht="17" customHeight="1">
      <c r="B10" s="4" t="inlineStr"/>
    </row>
    <row r="11" ht="17" customHeight="1">
      <c r="B11" s="3" t="inlineStr">
        <is>
          <t>COMO USAR, PASSO A PASSO</t>
        </is>
      </c>
    </row>
    <row r="12" ht="17" customHeight="1">
      <c r="B12" s="4" t="inlineStr">
        <is>
          <t>1º  Abra a aba LISTAS e escreva o nome dos seus cartões e, se quiser, ajuste as categorias.</t>
        </is>
      </c>
    </row>
    <row r="13" ht="17" customHeight="1">
      <c r="B13" s="4" t="inlineStr">
        <is>
          <t>2º  Abra a aba LANÇAMENTOS e comece a digitar. Data, Tipo, Status, Categoria, Descrição, Meio, Valor.</t>
        </is>
      </c>
    </row>
    <row r="14" ht="17" customHeight="1">
      <c r="B14" s="4" t="inlineStr">
        <is>
          <t>3º  Compras parceladas no cartão vão na aba CARTÕES: data, cartão, valor total e nº de parcelas.</t>
        </is>
      </c>
    </row>
    <row r="15" ht="17" customHeight="1">
      <c r="B15" s="4" t="inlineStr">
        <is>
          <t>4º  Veja o mês na aba RESUMO MENSAL (escolha ano e mês no alto) e o ano na aba RESUMO ANUAL.</t>
        </is>
      </c>
    </row>
    <row r="16" ht="17" customHeight="1">
      <c r="B16" s="4" t="inlineStr"/>
    </row>
    <row r="17" ht="17" customHeight="1">
      <c r="B17" s="3" t="inlineStr">
        <is>
          <t>REALIZADO x PROJETADO</t>
        </is>
      </c>
    </row>
    <row r="18" ht="17" customHeight="1">
      <c r="B18" s="4" t="inlineStr">
        <is>
          <t>REALIZADO = já aconteceu, o dinheiro já entrou ou já saiu.</t>
        </is>
      </c>
    </row>
    <row r="19" ht="17" customHeight="1">
      <c r="B19" s="4" t="inlineStr">
        <is>
          <t>PROJETADO = ainda vai acontecer. Serve para lançar salário futuro, aluguel, conta de luz prevista.</t>
        </is>
      </c>
    </row>
    <row r="20" ht="17" customHeight="1">
      <c r="B20" s="4" t="inlineStr">
        <is>
          <t>Os resumos mostram as duas colunas separadas e também o total, para você comparar.</t>
        </is>
      </c>
    </row>
    <row r="21" ht="17" customHeight="1">
      <c r="B21" s="4" t="inlineStr"/>
    </row>
    <row r="22" ht="17" customHeight="1">
      <c r="B22" s="3" t="inlineStr">
        <is>
          <t>O QUE VOCÊ NUNCA DEVE FAZER</t>
        </is>
      </c>
    </row>
    <row r="23" ht="17" customHeight="1">
      <c r="B23" s="6" t="inlineStr">
        <is>
          <t>Não EXCLUA linhas das tabelas. Para apagar um lançamento, selecione a linha e aperte DELETE</t>
        </is>
      </c>
    </row>
    <row r="24" ht="17" customHeight="1">
      <c r="B24" s="6" t="inlineStr">
        <is>
          <t xml:space="preserve">   (limpar o conteúdo). Excluir a linha apaga as fórmulas das colunas automáticas.</t>
        </is>
      </c>
    </row>
    <row r="25" ht="17" customHeight="1">
      <c r="B25" s="6" t="inlineStr">
        <is>
          <t>Não digite nada nas colunas cinza escritas (automático). Elas se calculam sozinhas.</t>
        </is>
      </c>
    </row>
    <row r="26" ht="17" customHeight="1">
      <c r="B26" s="6" t="inlineStr">
        <is>
          <t>Não mexa na aba PARCELAS. Ela é o motor que espalha as parcelas pelos meses.</t>
        </is>
      </c>
    </row>
    <row r="27" ht="17" customHeight="1">
      <c r="B27" s="4" t="inlineStr"/>
    </row>
    <row r="28" ht="17" customHeight="1">
      <c r="B28" s="3" t="inlineStr">
        <is>
          <t>AS ABAS</t>
        </is>
      </c>
    </row>
    <row r="29" ht="17" customHeight="1">
      <c r="B29" s="4" t="inlineStr">
        <is>
          <t>LANÇAMENTOS  ·  onde você digita tudo que é dinheiro em espécie, conta, débito, boleto.</t>
        </is>
      </c>
    </row>
    <row r="30" ht="17" customHeight="1">
      <c r="B30" s="4" t="inlineStr">
        <is>
          <t>CARTÕES      ·  compras no cartão de crédito, com parcelamento automático.</t>
        </is>
      </c>
    </row>
    <row r="31" ht="17" customHeight="1">
      <c r="B31" s="4" t="inlineStr">
        <is>
          <t>RESUMO MENSAL·  um mês por vez, com o detalhe por categoria e o resultado do mês.</t>
        </is>
      </c>
    </row>
    <row r="32" ht="17" customHeight="1">
      <c r="B32" s="4" t="inlineStr">
        <is>
          <t>RESUMO ANUAL ·  os 12 meses do ano lado a lado e o total do ano.</t>
        </is>
      </c>
    </row>
    <row r="33" ht="17" customHeight="1">
      <c r="B33" s="4" t="inlineStr">
        <is>
          <t>EXEMPLO      ·  modelos preenchidos de cada tipo de lançamento. Pode apagar a aba quando quiser.</t>
        </is>
      </c>
    </row>
    <row r="34" ht="17" customHeight="1">
      <c r="B34" s="4" t="inlineStr">
        <is>
          <t>LISTAS       ·  suas categorias, meios de pagamento e nomes dos cartões.</t>
        </is>
      </c>
    </row>
    <row r="35" ht="17" customHeight="1">
      <c r="B35" s="4" t="inlineStr">
        <is>
          <t>PARCELAS     ·  aba de apoio, automática. Não mexa.</t>
        </is>
      </c>
    </row>
    <row r="36" ht="17" customHeight="1">
      <c r="B36" s="4" t="inlineStr"/>
    </row>
    <row r="37" ht="17" customHeight="1">
      <c r="B37" s="3" t="inlineStr">
        <is>
          <t>COMO O RESULTADO DO MÊS É CALCULADO</t>
        </is>
      </c>
    </row>
    <row r="38" ht="17" customHeight="1">
      <c r="B38" s="5" t="inlineStr">
        <is>
          <t>Resultado = Entradas − Saídas − Parcelas de cartão que vencem no mês</t>
        </is>
      </c>
    </row>
    <row r="39" ht="17" customHeight="1">
      <c r="B39" s="4" t="inlineStr">
        <is>
          <t>O saldo acumulado no RESUMO ANUAL soma o resultado de cada mês, de janeiro em diante.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34" customWidth="1" min="5" max="5"/>
    <col width="17" customWidth="1" min="6" max="6"/>
    <col width="16" customWidth="1" min="7" max="7"/>
    <col width="11" customWidth="1" min="8" max="8"/>
    <col width="11" customWidth="1" min="9" max="9"/>
  </cols>
  <sheetData>
    <row r="1" ht="24" customHeight="1">
      <c r="A1" s="1" t="inlineStr">
        <is>
          <t>LANÇAMENTOS</t>
        </is>
      </c>
    </row>
    <row r="2">
      <c r="A2" s="2" t="inlineStr">
        <is>
          <t>Dinheiro que entra e sai da sua conta ou do seu bolso. Compra no cartão NÃO vem aqui — vai na aba CARTÕES.</t>
        </is>
      </c>
    </row>
    <row r="3">
      <c r="A3" s="7" t="inlineStr">
        <is>
          <t>Total ENTRADAS</t>
        </is>
      </c>
      <c r="B3" s="8" t="inlineStr">
        <is>
          <t>Total SAÍDAS</t>
        </is>
      </c>
      <c r="C3" s="9" t="inlineStr">
        <is>
          <t>Saldo (sem cartão)</t>
        </is>
      </c>
      <c r="D3" s="10" t="inlineStr">
        <is>
          <t>Lançamentos digitados</t>
        </is>
      </c>
      <c r="E3" s="10" t="inlineStr">
        <is>
          <t>Espaço livre para digitar</t>
        </is>
      </c>
    </row>
    <row r="4">
      <c r="A4" s="11">
        <f>SUMIF($B$6:$B$1005,"ENTRADA",$G$6:$G$1005)</f>
        <v/>
      </c>
      <c r="B4" s="12">
        <f>SUMIF($B$6:$B$1005,"SAÍDA",$G$6:$G$1005)</f>
        <v/>
      </c>
      <c r="C4" s="13">
        <f>A4-B4</f>
        <v/>
      </c>
      <c r="D4" s="14">
        <f>COUNTA($A$6:$A$1005)</f>
        <v/>
      </c>
      <c r="E4" s="14">
        <f>1000-D4</f>
        <v/>
      </c>
    </row>
    <row r="5" ht="30" customHeight="1">
      <c r="A5" s="15" t="inlineStr">
        <is>
          <t>Data</t>
        </is>
      </c>
      <c r="B5" s="15" t="inlineStr">
        <is>
          <t>Tipo</t>
        </is>
      </c>
      <c r="C5" s="15" t="inlineStr">
        <is>
          <t>Status</t>
        </is>
      </c>
      <c r="D5" s="15" t="inlineStr">
        <is>
          <t>Categoria</t>
        </is>
      </c>
      <c r="E5" s="15" t="inlineStr">
        <is>
          <t>Descrição</t>
        </is>
      </c>
      <c r="F5" s="15" t="inlineStr">
        <is>
          <t>Meio de pagamento</t>
        </is>
      </c>
      <c r="G5" s="15" t="inlineStr">
        <is>
          <t>Valor (Gs.)</t>
        </is>
      </c>
      <c r="H5" s="15" t="inlineStr">
        <is>
          <t>Mês (auto)</t>
        </is>
      </c>
      <c r="I5" s="15" t="inlineStr">
        <is>
          <t>Índice (auto)</t>
        </is>
      </c>
    </row>
    <row r="6">
      <c r="A6" s="16" t="n"/>
      <c r="B6" s="17" t="n"/>
      <c r="C6" s="17" t="n"/>
      <c r="D6" s="18" t="n"/>
      <c r="E6" s="18" t="n"/>
      <c r="F6" s="17" t="n"/>
      <c r="G6" s="19" t="n"/>
      <c r="H6" s="20">
        <f>IF($A6="","",MONTH($A6)&amp;"/"&amp;YEAR($A6))</f>
        <v/>
      </c>
      <c r="I6" s="21">
        <f>IF($A6="",0,YEAR($A6)*12+MONTH($A6))</f>
        <v/>
      </c>
    </row>
    <row r="7">
      <c r="A7" s="16" t="n"/>
      <c r="B7" s="17" t="n"/>
      <c r="C7" s="17" t="n"/>
      <c r="D7" s="18" t="n"/>
      <c r="E7" s="18" t="n"/>
      <c r="F7" s="17" t="n"/>
      <c r="G7" s="19" t="n"/>
      <c r="H7" s="20">
        <f>IF($A7="","",MONTH($A7)&amp;"/"&amp;YEAR($A7))</f>
        <v/>
      </c>
      <c r="I7" s="21">
        <f>IF($A7="",0,YEAR($A7)*12+MONTH($A7))</f>
        <v/>
      </c>
    </row>
    <row r="8">
      <c r="A8" s="16" t="n"/>
      <c r="B8" s="17" t="n"/>
      <c r="C8" s="17" t="n"/>
      <c r="D8" s="18" t="n"/>
      <c r="E8" s="18" t="n"/>
      <c r="F8" s="17" t="n"/>
      <c r="G8" s="19" t="n"/>
      <c r="H8" s="20">
        <f>IF($A8="","",MONTH($A8)&amp;"/"&amp;YEAR($A8))</f>
        <v/>
      </c>
      <c r="I8" s="21">
        <f>IF($A8="",0,YEAR($A8)*12+MONTH($A8))</f>
        <v/>
      </c>
    </row>
    <row r="9">
      <c r="A9" s="16" t="n"/>
      <c r="B9" s="17" t="n"/>
      <c r="C9" s="17" t="n"/>
      <c r="D9" s="18" t="n"/>
      <c r="E9" s="18" t="n"/>
      <c r="F9" s="17" t="n"/>
      <c r="G9" s="19" t="n"/>
      <c r="H9" s="20">
        <f>IF($A9="","",MONTH($A9)&amp;"/"&amp;YEAR($A9))</f>
        <v/>
      </c>
      <c r="I9" s="21">
        <f>IF($A9="",0,YEAR($A9)*12+MONTH($A9))</f>
        <v/>
      </c>
    </row>
    <row r="10">
      <c r="A10" s="16" t="n"/>
      <c r="B10" s="17" t="n"/>
      <c r="C10" s="17" t="n"/>
      <c r="D10" s="18" t="n"/>
      <c r="E10" s="18" t="n"/>
      <c r="F10" s="17" t="n"/>
      <c r="G10" s="19" t="n"/>
      <c r="H10" s="20">
        <f>IF($A10="","",MONTH($A10)&amp;"/"&amp;YEAR($A10))</f>
        <v/>
      </c>
      <c r="I10" s="21">
        <f>IF($A10="",0,YEAR($A10)*12+MONTH($A10))</f>
        <v/>
      </c>
    </row>
    <row r="11">
      <c r="A11" s="16" t="n"/>
      <c r="B11" s="17" t="n"/>
      <c r="C11" s="17" t="n"/>
      <c r="D11" s="18" t="n"/>
      <c r="E11" s="18" t="n"/>
      <c r="F11" s="17" t="n"/>
      <c r="G11" s="19" t="n"/>
      <c r="H11" s="20">
        <f>IF($A11="","",MONTH($A11)&amp;"/"&amp;YEAR($A11))</f>
        <v/>
      </c>
      <c r="I11" s="21">
        <f>IF($A11="",0,YEAR($A11)*12+MONTH($A11))</f>
        <v/>
      </c>
    </row>
    <row r="12">
      <c r="A12" s="16" t="n"/>
      <c r="B12" s="17" t="n"/>
      <c r="C12" s="17" t="n"/>
      <c r="D12" s="18" t="n"/>
      <c r="E12" s="18" t="n"/>
      <c r="F12" s="17" t="n"/>
      <c r="G12" s="19" t="n"/>
      <c r="H12" s="20">
        <f>IF($A12="","",MONTH($A12)&amp;"/"&amp;YEAR($A12))</f>
        <v/>
      </c>
      <c r="I12" s="21">
        <f>IF($A12="",0,YEAR($A12)*12+MONTH($A12))</f>
        <v/>
      </c>
    </row>
    <row r="13">
      <c r="A13" s="16" t="n"/>
      <c r="B13" s="17" t="n"/>
      <c r="C13" s="17" t="n"/>
      <c r="D13" s="18" t="n"/>
      <c r="E13" s="18" t="n"/>
      <c r="F13" s="17" t="n"/>
      <c r="G13" s="19" t="n"/>
      <c r="H13" s="20">
        <f>IF($A13="","",MONTH($A13)&amp;"/"&amp;YEAR($A13))</f>
        <v/>
      </c>
      <c r="I13" s="21">
        <f>IF($A13="",0,YEAR($A13)*12+MONTH($A13))</f>
        <v/>
      </c>
    </row>
    <row r="14">
      <c r="A14" s="16" t="n"/>
      <c r="B14" s="17" t="n"/>
      <c r="C14" s="17" t="n"/>
      <c r="D14" s="18" t="n"/>
      <c r="E14" s="18" t="n"/>
      <c r="F14" s="17" t="n"/>
      <c r="G14" s="19" t="n"/>
      <c r="H14" s="20">
        <f>IF($A14="","",MONTH($A14)&amp;"/"&amp;YEAR($A14))</f>
        <v/>
      </c>
      <c r="I14" s="21">
        <f>IF($A14="",0,YEAR($A14)*12+MONTH($A14))</f>
        <v/>
      </c>
    </row>
    <row r="15">
      <c r="A15" s="16" t="n"/>
      <c r="B15" s="17" t="n"/>
      <c r="C15" s="17" t="n"/>
      <c r="D15" s="18" t="n"/>
      <c r="E15" s="18" t="n"/>
      <c r="F15" s="17" t="n"/>
      <c r="G15" s="19" t="n"/>
      <c r="H15" s="20">
        <f>IF($A15="","",MONTH($A15)&amp;"/"&amp;YEAR($A15))</f>
        <v/>
      </c>
      <c r="I15" s="21">
        <f>IF($A15="",0,YEAR($A15)*12+MONTH($A15))</f>
        <v/>
      </c>
    </row>
    <row r="16">
      <c r="A16" s="16" t="n"/>
      <c r="B16" s="17" t="n"/>
      <c r="C16" s="17" t="n"/>
      <c r="D16" s="18" t="n"/>
      <c r="E16" s="18" t="n"/>
      <c r="F16" s="17" t="n"/>
      <c r="G16" s="19" t="n"/>
      <c r="H16" s="20">
        <f>IF($A16="","",MONTH($A16)&amp;"/"&amp;YEAR($A16))</f>
        <v/>
      </c>
      <c r="I16" s="21">
        <f>IF($A16="",0,YEAR($A16)*12+MONTH($A16))</f>
        <v/>
      </c>
    </row>
    <row r="17">
      <c r="A17" s="16" t="n"/>
      <c r="B17" s="17" t="n"/>
      <c r="C17" s="17" t="n"/>
      <c r="D17" s="18" t="n"/>
      <c r="E17" s="18" t="n"/>
      <c r="F17" s="17" t="n"/>
      <c r="G17" s="19" t="n"/>
      <c r="H17" s="20">
        <f>IF($A17="","",MONTH($A17)&amp;"/"&amp;YEAR($A17))</f>
        <v/>
      </c>
      <c r="I17" s="21">
        <f>IF($A17="",0,YEAR($A17)*12+MONTH($A17))</f>
        <v/>
      </c>
    </row>
    <row r="18">
      <c r="A18" s="16" t="n"/>
      <c r="B18" s="17" t="n"/>
      <c r="C18" s="17" t="n"/>
      <c r="D18" s="18" t="n"/>
      <c r="E18" s="18" t="n"/>
      <c r="F18" s="17" t="n"/>
      <c r="G18" s="19" t="n"/>
      <c r="H18" s="20">
        <f>IF($A18="","",MONTH($A18)&amp;"/"&amp;YEAR($A18))</f>
        <v/>
      </c>
      <c r="I18" s="21">
        <f>IF($A18="",0,YEAR($A18)*12+MONTH($A18))</f>
        <v/>
      </c>
    </row>
    <row r="19">
      <c r="A19" s="16" t="n"/>
      <c r="B19" s="17" t="n"/>
      <c r="C19" s="17" t="n"/>
      <c r="D19" s="18" t="n"/>
      <c r="E19" s="18" t="n"/>
      <c r="F19" s="17" t="n"/>
      <c r="G19" s="19" t="n"/>
      <c r="H19" s="20">
        <f>IF($A19="","",MONTH($A19)&amp;"/"&amp;YEAR($A19))</f>
        <v/>
      </c>
      <c r="I19" s="21">
        <f>IF($A19="",0,YEAR($A19)*12+MONTH($A19))</f>
        <v/>
      </c>
    </row>
    <row r="20">
      <c r="A20" s="16" t="n"/>
      <c r="B20" s="17" t="n"/>
      <c r="C20" s="17" t="n"/>
      <c r="D20" s="18" t="n"/>
      <c r="E20" s="18" t="n"/>
      <c r="F20" s="17" t="n"/>
      <c r="G20" s="19" t="n"/>
      <c r="H20" s="20">
        <f>IF($A20="","",MONTH($A20)&amp;"/"&amp;YEAR($A20))</f>
        <v/>
      </c>
      <c r="I20" s="21">
        <f>IF($A20="",0,YEAR($A20)*12+MONTH($A20))</f>
        <v/>
      </c>
    </row>
    <row r="21">
      <c r="A21" s="16" t="n"/>
      <c r="B21" s="17" t="n"/>
      <c r="C21" s="17" t="n"/>
      <c r="D21" s="18" t="n"/>
      <c r="E21" s="18" t="n"/>
      <c r="F21" s="17" t="n"/>
      <c r="G21" s="19" t="n"/>
      <c r="H21" s="20">
        <f>IF($A21="","",MONTH($A21)&amp;"/"&amp;YEAR($A21))</f>
        <v/>
      </c>
      <c r="I21" s="21">
        <f>IF($A21="",0,YEAR($A21)*12+MONTH($A21))</f>
        <v/>
      </c>
    </row>
    <row r="22">
      <c r="A22" s="16" t="n"/>
      <c r="B22" s="17" t="n"/>
      <c r="C22" s="17" t="n"/>
      <c r="D22" s="18" t="n"/>
      <c r="E22" s="18" t="n"/>
      <c r="F22" s="17" t="n"/>
      <c r="G22" s="19" t="n"/>
      <c r="H22" s="20">
        <f>IF($A22="","",MONTH($A22)&amp;"/"&amp;YEAR($A22))</f>
        <v/>
      </c>
      <c r="I22" s="21">
        <f>IF($A22="",0,YEAR($A22)*12+MONTH($A22))</f>
        <v/>
      </c>
    </row>
    <row r="23">
      <c r="A23" s="16" t="n"/>
      <c r="B23" s="17" t="n"/>
      <c r="C23" s="17" t="n"/>
      <c r="D23" s="18" t="n"/>
      <c r="E23" s="18" t="n"/>
      <c r="F23" s="17" t="n"/>
      <c r="G23" s="19" t="n"/>
      <c r="H23" s="20">
        <f>IF($A23="","",MONTH($A23)&amp;"/"&amp;YEAR($A23))</f>
        <v/>
      </c>
      <c r="I23" s="21">
        <f>IF($A23="",0,YEAR($A23)*12+MONTH($A23))</f>
        <v/>
      </c>
    </row>
    <row r="24">
      <c r="A24" s="16" t="n"/>
      <c r="B24" s="17" t="n"/>
      <c r="C24" s="17" t="n"/>
      <c r="D24" s="18" t="n"/>
      <c r="E24" s="18" t="n"/>
      <c r="F24" s="17" t="n"/>
      <c r="G24" s="19" t="n"/>
      <c r="H24" s="20">
        <f>IF($A24="","",MONTH($A24)&amp;"/"&amp;YEAR($A24))</f>
        <v/>
      </c>
      <c r="I24" s="21">
        <f>IF($A24="",0,YEAR($A24)*12+MONTH($A24))</f>
        <v/>
      </c>
    </row>
    <row r="25">
      <c r="A25" s="16" t="n"/>
      <c r="B25" s="17" t="n"/>
      <c r="C25" s="17" t="n"/>
      <c r="D25" s="18" t="n"/>
      <c r="E25" s="18" t="n"/>
      <c r="F25" s="17" t="n"/>
      <c r="G25" s="19" t="n"/>
      <c r="H25" s="20">
        <f>IF($A25="","",MONTH($A25)&amp;"/"&amp;YEAR($A25))</f>
        <v/>
      </c>
      <c r="I25" s="21">
        <f>IF($A25="",0,YEAR($A25)*12+MONTH($A25))</f>
        <v/>
      </c>
    </row>
    <row r="26">
      <c r="A26" s="16" t="n"/>
      <c r="B26" s="17" t="n"/>
      <c r="C26" s="17" t="n"/>
      <c r="D26" s="18" t="n"/>
      <c r="E26" s="18" t="n"/>
      <c r="F26" s="17" t="n"/>
      <c r="G26" s="19" t="n"/>
      <c r="H26" s="20">
        <f>IF($A26="","",MONTH($A26)&amp;"/"&amp;YEAR($A26))</f>
        <v/>
      </c>
      <c r="I26" s="21">
        <f>IF($A26="",0,YEAR($A26)*12+MONTH($A26))</f>
        <v/>
      </c>
    </row>
    <row r="27">
      <c r="A27" s="16" t="n"/>
      <c r="B27" s="17" t="n"/>
      <c r="C27" s="17" t="n"/>
      <c r="D27" s="18" t="n"/>
      <c r="E27" s="18" t="n"/>
      <c r="F27" s="17" t="n"/>
      <c r="G27" s="19" t="n"/>
      <c r="H27" s="20">
        <f>IF($A27="","",MONTH($A27)&amp;"/"&amp;YEAR($A27))</f>
        <v/>
      </c>
      <c r="I27" s="21">
        <f>IF($A27="",0,YEAR($A27)*12+MONTH($A27))</f>
        <v/>
      </c>
    </row>
    <row r="28">
      <c r="A28" s="16" t="n"/>
      <c r="B28" s="17" t="n"/>
      <c r="C28" s="17" t="n"/>
      <c r="D28" s="18" t="n"/>
      <c r="E28" s="18" t="n"/>
      <c r="F28" s="17" t="n"/>
      <c r="G28" s="19" t="n"/>
      <c r="H28" s="20">
        <f>IF($A28="","",MONTH($A28)&amp;"/"&amp;YEAR($A28))</f>
        <v/>
      </c>
      <c r="I28" s="21">
        <f>IF($A28="",0,YEAR($A28)*12+MONTH($A28))</f>
        <v/>
      </c>
    </row>
    <row r="29">
      <c r="A29" s="16" t="n"/>
      <c r="B29" s="17" t="n"/>
      <c r="C29" s="17" t="n"/>
      <c r="D29" s="18" t="n"/>
      <c r="E29" s="18" t="n"/>
      <c r="F29" s="17" t="n"/>
      <c r="G29" s="19" t="n"/>
      <c r="H29" s="20">
        <f>IF($A29="","",MONTH($A29)&amp;"/"&amp;YEAR($A29))</f>
        <v/>
      </c>
      <c r="I29" s="21">
        <f>IF($A29="",0,YEAR($A29)*12+MONTH($A29))</f>
        <v/>
      </c>
    </row>
    <row r="30">
      <c r="A30" s="16" t="n"/>
      <c r="B30" s="17" t="n"/>
      <c r="C30" s="17" t="n"/>
      <c r="D30" s="18" t="n"/>
      <c r="E30" s="18" t="n"/>
      <c r="F30" s="17" t="n"/>
      <c r="G30" s="19" t="n"/>
      <c r="H30" s="20">
        <f>IF($A30="","",MONTH($A30)&amp;"/"&amp;YEAR($A30))</f>
        <v/>
      </c>
      <c r="I30" s="21">
        <f>IF($A30="",0,YEAR($A30)*12+MONTH($A30))</f>
        <v/>
      </c>
    </row>
    <row r="31">
      <c r="A31" s="16" t="n"/>
      <c r="B31" s="17" t="n"/>
      <c r="C31" s="17" t="n"/>
      <c r="D31" s="18" t="n"/>
      <c r="E31" s="18" t="n"/>
      <c r="F31" s="17" t="n"/>
      <c r="G31" s="19" t="n"/>
      <c r="H31" s="20">
        <f>IF($A31="","",MONTH($A31)&amp;"/"&amp;YEAR($A31))</f>
        <v/>
      </c>
      <c r="I31" s="21">
        <f>IF($A31="",0,YEAR($A31)*12+MONTH($A31))</f>
        <v/>
      </c>
    </row>
    <row r="32">
      <c r="A32" s="16" t="n"/>
      <c r="B32" s="17" t="n"/>
      <c r="C32" s="17" t="n"/>
      <c r="D32" s="18" t="n"/>
      <c r="E32" s="18" t="n"/>
      <c r="F32" s="17" t="n"/>
      <c r="G32" s="19" t="n"/>
      <c r="H32" s="20">
        <f>IF($A32="","",MONTH($A32)&amp;"/"&amp;YEAR($A32))</f>
        <v/>
      </c>
      <c r="I32" s="21">
        <f>IF($A32="",0,YEAR($A32)*12+MONTH($A32))</f>
        <v/>
      </c>
    </row>
    <row r="33">
      <c r="A33" s="16" t="n"/>
      <c r="B33" s="17" t="n"/>
      <c r="C33" s="17" t="n"/>
      <c r="D33" s="18" t="n"/>
      <c r="E33" s="18" t="n"/>
      <c r="F33" s="17" t="n"/>
      <c r="G33" s="19" t="n"/>
      <c r="H33" s="20">
        <f>IF($A33="","",MONTH($A33)&amp;"/"&amp;YEAR($A33))</f>
        <v/>
      </c>
      <c r="I33" s="21">
        <f>IF($A33="",0,YEAR($A33)*12+MONTH($A33))</f>
        <v/>
      </c>
    </row>
    <row r="34">
      <c r="A34" s="16" t="n"/>
      <c r="B34" s="17" t="n"/>
      <c r="C34" s="17" t="n"/>
      <c r="D34" s="18" t="n"/>
      <c r="E34" s="18" t="n"/>
      <c r="F34" s="17" t="n"/>
      <c r="G34" s="19" t="n"/>
      <c r="H34" s="20">
        <f>IF($A34="","",MONTH($A34)&amp;"/"&amp;YEAR($A34))</f>
        <v/>
      </c>
      <c r="I34" s="21">
        <f>IF($A34="",0,YEAR($A34)*12+MONTH($A34))</f>
        <v/>
      </c>
    </row>
    <row r="35">
      <c r="A35" s="16" t="n"/>
      <c r="B35" s="17" t="n"/>
      <c r="C35" s="17" t="n"/>
      <c r="D35" s="18" t="n"/>
      <c r="E35" s="18" t="n"/>
      <c r="F35" s="17" t="n"/>
      <c r="G35" s="19" t="n"/>
      <c r="H35" s="20">
        <f>IF($A35="","",MONTH($A35)&amp;"/"&amp;YEAR($A35))</f>
        <v/>
      </c>
      <c r="I35" s="21">
        <f>IF($A35="",0,YEAR($A35)*12+MONTH($A35))</f>
        <v/>
      </c>
    </row>
    <row r="36">
      <c r="A36" s="16" t="n"/>
      <c r="B36" s="17" t="n"/>
      <c r="C36" s="17" t="n"/>
      <c r="D36" s="18" t="n"/>
      <c r="E36" s="18" t="n"/>
      <c r="F36" s="17" t="n"/>
      <c r="G36" s="19" t="n"/>
      <c r="H36" s="20">
        <f>IF($A36="","",MONTH($A36)&amp;"/"&amp;YEAR($A36))</f>
        <v/>
      </c>
      <c r="I36" s="21">
        <f>IF($A36="",0,YEAR($A36)*12+MONTH($A36))</f>
        <v/>
      </c>
    </row>
    <row r="37">
      <c r="A37" s="16" t="n"/>
      <c r="B37" s="17" t="n"/>
      <c r="C37" s="17" t="n"/>
      <c r="D37" s="18" t="n"/>
      <c r="E37" s="18" t="n"/>
      <c r="F37" s="17" t="n"/>
      <c r="G37" s="19" t="n"/>
      <c r="H37" s="20">
        <f>IF($A37="","",MONTH($A37)&amp;"/"&amp;YEAR($A37))</f>
        <v/>
      </c>
      <c r="I37" s="21">
        <f>IF($A37="",0,YEAR($A37)*12+MONTH($A37))</f>
        <v/>
      </c>
    </row>
    <row r="38">
      <c r="A38" s="16" t="n"/>
      <c r="B38" s="17" t="n"/>
      <c r="C38" s="17" t="n"/>
      <c r="D38" s="18" t="n"/>
      <c r="E38" s="18" t="n"/>
      <c r="F38" s="17" t="n"/>
      <c r="G38" s="19" t="n"/>
      <c r="H38" s="20">
        <f>IF($A38="","",MONTH($A38)&amp;"/"&amp;YEAR($A38))</f>
        <v/>
      </c>
      <c r="I38" s="21">
        <f>IF($A38="",0,YEAR($A38)*12+MONTH($A38))</f>
        <v/>
      </c>
    </row>
    <row r="39">
      <c r="A39" s="16" t="n"/>
      <c r="B39" s="17" t="n"/>
      <c r="C39" s="17" t="n"/>
      <c r="D39" s="18" t="n"/>
      <c r="E39" s="18" t="n"/>
      <c r="F39" s="17" t="n"/>
      <c r="G39" s="19" t="n"/>
      <c r="H39" s="20">
        <f>IF($A39="","",MONTH($A39)&amp;"/"&amp;YEAR($A39))</f>
        <v/>
      </c>
      <c r="I39" s="21">
        <f>IF($A39="",0,YEAR($A39)*12+MONTH($A39))</f>
        <v/>
      </c>
    </row>
    <row r="40">
      <c r="A40" s="16" t="n"/>
      <c r="B40" s="17" t="n"/>
      <c r="C40" s="17" t="n"/>
      <c r="D40" s="18" t="n"/>
      <c r="E40" s="18" t="n"/>
      <c r="F40" s="17" t="n"/>
      <c r="G40" s="19" t="n"/>
      <c r="H40" s="20">
        <f>IF($A40="","",MONTH($A40)&amp;"/"&amp;YEAR($A40))</f>
        <v/>
      </c>
      <c r="I40" s="21">
        <f>IF($A40="",0,YEAR($A40)*12+MONTH($A40))</f>
        <v/>
      </c>
    </row>
    <row r="41">
      <c r="A41" s="16" t="n"/>
      <c r="B41" s="17" t="n"/>
      <c r="C41" s="17" t="n"/>
      <c r="D41" s="18" t="n"/>
      <c r="E41" s="18" t="n"/>
      <c r="F41" s="17" t="n"/>
      <c r="G41" s="19" t="n"/>
      <c r="H41" s="20">
        <f>IF($A41="","",MONTH($A41)&amp;"/"&amp;YEAR($A41))</f>
        <v/>
      </c>
      <c r="I41" s="21">
        <f>IF($A41="",0,YEAR($A41)*12+MONTH($A41))</f>
        <v/>
      </c>
    </row>
    <row r="42">
      <c r="A42" s="16" t="n"/>
      <c r="B42" s="17" t="n"/>
      <c r="C42" s="17" t="n"/>
      <c r="D42" s="18" t="n"/>
      <c r="E42" s="18" t="n"/>
      <c r="F42" s="17" t="n"/>
      <c r="G42" s="19" t="n"/>
      <c r="H42" s="20">
        <f>IF($A42="","",MONTH($A42)&amp;"/"&amp;YEAR($A42))</f>
        <v/>
      </c>
      <c r="I42" s="21">
        <f>IF($A42="",0,YEAR($A42)*12+MONTH($A42))</f>
        <v/>
      </c>
    </row>
    <row r="43">
      <c r="A43" s="16" t="n"/>
      <c r="B43" s="17" t="n"/>
      <c r="C43" s="17" t="n"/>
      <c r="D43" s="18" t="n"/>
      <c r="E43" s="18" t="n"/>
      <c r="F43" s="17" t="n"/>
      <c r="G43" s="19" t="n"/>
      <c r="H43" s="20">
        <f>IF($A43="","",MONTH($A43)&amp;"/"&amp;YEAR($A43))</f>
        <v/>
      </c>
      <c r="I43" s="21">
        <f>IF($A43="",0,YEAR($A43)*12+MONTH($A43))</f>
        <v/>
      </c>
    </row>
    <row r="44">
      <c r="A44" s="16" t="n"/>
      <c r="B44" s="17" t="n"/>
      <c r="C44" s="17" t="n"/>
      <c r="D44" s="18" t="n"/>
      <c r="E44" s="18" t="n"/>
      <c r="F44" s="17" t="n"/>
      <c r="G44" s="19" t="n"/>
      <c r="H44" s="20">
        <f>IF($A44="","",MONTH($A44)&amp;"/"&amp;YEAR($A44))</f>
        <v/>
      </c>
      <c r="I44" s="21">
        <f>IF($A44="",0,YEAR($A44)*12+MONTH($A44))</f>
        <v/>
      </c>
    </row>
    <row r="45">
      <c r="A45" s="16" t="n"/>
      <c r="B45" s="17" t="n"/>
      <c r="C45" s="17" t="n"/>
      <c r="D45" s="18" t="n"/>
      <c r="E45" s="18" t="n"/>
      <c r="F45" s="17" t="n"/>
      <c r="G45" s="19" t="n"/>
      <c r="H45" s="20">
        <f>IF($A45="","",MONTH($A45)&amp;"/"&amp;YEAR($A45))</f>
        <v/>
      </c>
      <c r="I45" s="21">
        <f>IF($A45="",0,YEAR($A45)*12+MONTH($A45))</f>
        <v/>
      </c>
    </row>
    <row r="46">
      <c r="A46" s="16" t="n"/>
      <c r="B46" s="17" t="n"/>
      <c r="C46" s="17" t="n"/>
      <c r="D46" s="18" t="n"/>
      <c r="E46" s="18" t="n"/>
      <c r="F46" s="17" t="n"/>
      <c r="G46" s="19" t="n"/>
      <c r="H46" s="20">
        <f>IF($A46="","",MONTH($A46)&amp;"/"&amp;YEAR($A46))</f>
        <v/>
      </c>
      <c r="I46" s="21">
        <f>IF($A46="",0,YEAR($A46)*12+MONTH($A46))</f>
        <v/>
      </c>
    </row>
    <row r="47">
      <c r="A47" s="16" t="n"/>
      <c r="B47" s="17" t="n"/>
      <c r="C47" s="17" t="n"/>
      <c r="D47" s="18" t="n"/>
      <c r="E47" s="18" t="n"/>
      <c r="F47" s="17" t="n"/>
      <c r="G47" s="19" t="n"/>
      <c r="H47" s="20">
        <f>IF($A47="","",MONTH($A47)&amp;"/"&amp;YEAR($A47))</f>
        <v/>
      </c>
      <c r="I47" s="21">
        <f>IF($A47="",0,YEAR($A47)*12+MONTH($A47))</f>
        <v/>
      </c>
    </row>
    <row r="48">
      <c r="A48" s="16" t="n"/>
      <c r="B48" s="17" t="n"/>
      <c r="C48" s="17" t="n"/>
      <c r="D48" s="18" t="n"/>
      <c r="E48" s="18" t="n"/>
      <c r="F48" s="17" t="n"/>
      <c r="G48" s="19" t="n"/>
      <c r="H48" s="20">
        <f>IF($A48="","",MONTH($A48)&amp;"/"&amp;YEAR($A48))</f>
        <v/>
      </c>
      <c r="I48" s="21">
        <f>IF($A48="",0,YEAR($A48)*12+MONTH($A48))</f>
        <v/>
      </c>
    </row>
    <row r="49">
      <c r="A49" s="16" t="n"/>
      <c r="B49" s="17" t="n"/>
      <c r="C49" s="17" t="n"/>
      <c r="D49" s="18" t="n"/>
      <c r="E49" s="18" t="n"/>
      <c r="F49" s="17" t="n"/>
      <c r="G49" s="19" t="n"/>
      <c r="H49" s="20">
        <f>IF($A49="","",MONTH($A49)&amp;"/"&amp;YEAR($A49))</f>
        <v/>
      </c>
      <c r="I49" s="21">
        <f>IF($A49="",0,YEAR($A49)*12+MONTH($A49))</f>
        <v/>
      </c>
    </row>
    <row r="50">
      <c r="A50" s="16" t="n"/>
      <c r="B50" s="17" t="n"/>
      <c r="C50" s="17" t="n"/>
      <c r="D50" s="18" t="n"/>
      <c r="E50" s="18" t="n"/>
      <c r="F50" s="17" t="n"/>
      <c r="G50" s="19" t="n"/>
      <c r="H50" s="20">
        <f>IF($A50="","",MONTH($A50)&amp;"/"&amp;YEAR($A50))</f>
        <v/>
      </c>
      <c r="I50" s="21">
        <f>IF($A50="",0,YEAR($A50)*12+MONTH($A50))</f>
        <v/>
      </c>
    </row>
    <row r="51">
      <c r="A51" s="16" t="n"/>
      <c r="B51" s="17" t="n"/>
      <c r="C51" s="17" t="n"/>
      <c r="D51" s="18" t="n"/>
      <c r="E51" s="18" t="n"/>
      <c r="F51" s="17" t="n"/>
      <c r="G51" s="19" t="n"/>
      <c r="H51" s="20">
        <f>IF($A51="","",MONTH($A51)&amp;"/"&amp;YEAR($A51))</f>
        <v/>
      </c>
      <c r="I51" s="21">
        <f>IF($A51="",0,YEAR($A51)*12+MONTH($A51))</f>
        <v/>
      </c>
    </row>
    <row r="52">
      <c r="A52" s="16" t="n"/>
      <c r="B52" s="17" t="n"/>
      <c r="C52" s="17" t="n"/>
      <c r="D52" s="18" t="n"/>
      <c r="E52" s="18" t="n"/>
      <c r="F52" s="17" t="n"/>
      <c r="G52" s="19" t="n"/>
      <c r="H52" s="20">
        <f>IF($A52="","",MONTH($A52)&amp;"/"&amp;YEAR($A52))</f>
        <v/>
      </c>
      <c r="I52" s="21">
        <f>IF($A52="",0,YEAR($A52)*12+MONTH($A52))</f>
        <v/>
      </c>
    </row>
    <row r="53">
      <c r="A53" s="16" t="n"/>
      <c r="B53" s="17" t="n"/>
      <c r="C53" s="17" t="n"/>
      <c r="D53" s="18" t="n"/>
      <c r="E53" s="18" t="n"/>
      <c r="F53" s="17" t="n"/>
      <c r="G53" s="19" t="n"/>
      <c r="H53" s="20">
        <f>IF($A53="","",MONTH($A53)&amp;"/"&amp;YEAR($A53))</f>
        <v/>
      </c>
      <c r="I53" s="21">
        <f>IF($A53="",0,YEAR($A53)*12+MONTH($A53))</f>
        <v/>
      </c>
    </row>
    <row r="54">
      <c r="A54" s="16" t="n"/>
      <c r="B54" s="17" t="n"/>
      <c r="C54" s="17" t="n"/>
      <c r="D54" s="18" t="n"/>
      <c r="E54" s="18" t="n"/>
      <c r="F54" s="17" t="n"/>
      <c r="G54" s="19" t="n"/>
      <c r="H54" s="20">
        <f>IF($A54="","",MONTH($A54)&amp;"/"&amp;YEAR($A54))</f>
        <v/>
      </c>
      <c r="I54" s="21">
        <f>IF($A54="",0,YEAR($A54)*12+MONTH($A54))</f>
        <v/>
      </c>
    </row>
    <row r="55">
      <c r="A55" s="16" t="n"/>
      <c r="B55" s="17" t="n"/>
      <c r="C55" s="17" t="n"/>
      <c r="D55" s="18" t="n"/>
      <c r="E55" s="18" t="n"/>
      <c r="F55" s="17" t="n"/>
      <c r="G55" s="19" t="n"/>
      <c r="H55" s="20">
        <f>IF($A55="","",MONTH($A55)&amp;"/"&amp;YEAR($A55))</f>
        <v/>
      </c>
      <c r="I55" s="21">
        <f>IF($A55="",0,YEAR($A55)*12+MONTH($A55))</f>
        <v/>
      </c>
    </row>
    <row r="56">
      <c r="A56" s="16" t="n"/>
      <c r="B56" s="17" t="n"/>
      <c r="C56" s="17" t="n"/>
      <c r="D56" s="18" t="n"/>
      <c r="E56" s="18" t="n"/>
      <c r="F56" s="17" t="n"/>
      <c r="G56" s="19" t="n"/>
      <c r="H56" s="20">
        <f>IF($A56="","",MONTH($A56)&amp;"/"&amp;YEAR($A56))</f>
        <v/>
      </c>
      <c r="I56" s="21">
        <f>IF($A56="",0,YEAR($A56)*12+MONTH($A56))</f>
        <v/>
      </c>
    </row>
    <row r="57">
      <c r="A57" s="16" t="n"/>
      <c r="B57" s="17" t="n"/>
      <c r="C57" s="17" t="n"/>
      <c r="D57" s="18" t="n"/>
      <c r="E57" s="18" t="n"/>
      <c r="F57" s="17" t="n"/>
      <c r="G57" s="19" t="n"/>
      <c r="H57" s="20">
        <f>IF($A57="","",MONTH($A57)&amp;"/"&amp;YEAR($A57))</f>
        <v/>
      </c>
      <c r="I57" s="21">
        <f>IF($A57="",0,YEAR($A57)*12+MONTH($A57))</f>
        <v/>
      </c>
    </row>
    <row r="58">
      <c r="A58" s="16" t="n"/>
      <c r="B58" s="17" t="n"/>
      <c r="C58" s="17" t="n"/>
      <c r="D58" s="18" t="n"/>
      <c r="E58" s="18" t="n"/>
      <c r="F58" s="17" t="n"/>
      <c r="G58" s="19" t="n"/>
      <c r="H58" s="20">
        <f>IF($A58="","",MONTH($A58)&amp;"/"&amp;YEAR($A58))</f>
        <v/>
      </c>
      <c r="I58" s="21">
        <f>IF($A58="",0,YEAR($A58)*12+MONTH($A58))</f>
        <v/>
      </c>
    </row>
    <row r="59">
      <c r="A59" s="16" t="n"/>
      <c r="B59" s="17" t="n"/>
      <c r="C59" s="17" t="n"/>
      <c r="D59" s="18" t="n"/>
      <c r="E59" s="18" t="n"/>
      <c r="F59" s="17" t="n"/>
      <c r="G59" s="19" t="n"/>
      <c r="H59" s="20">
        <f>IF($A59="","",MONTH($A59)&amp;"/"&amp;YEAR($A59))</f>
        <v/>
      </c>
      <c r="I59" s="21">
        <f>IF($A59="",0,YEAR($A59)*12+MONTH($A59))</f>
        <v/>
      </c>
    </row>
    <row r="60">
      <c r="A60" s="16" t="n"/>
      <c r="B60" s="17" t="n"/>
      <c r="C60" s="17" t="n"/>
      <c r="D60" s="18" t="n"/>
      <c r="E60" s="18" t="n"/>
      <c r="F60" s="17" t="n"/>
      <c r="G60" s="19" t="n"/>
      <c r="H60" s="20">
        <f>IF($A60="","",MONTH($A60)&amp;"/"&amp;YEAR($A60))</f>
        <v/>
      </c>
      <c r="I60" s="21">
        <f>IF($A60="",0,YEAR($A60)*12+MONTH($A60))</f>
        <v/>
      </c>
    </row>
    <row r="61">
      <c r="A61" s="16" t="n"/>
      <c r="B61" s="17" t="n"/>
      <c r="C61" s="17" t="n"/>
      <c r="D61" s="18" t="n"/>
      <c r="E61" s="18" t="n"/>
      <c r="F61" s="17" t="n"/>
      <c r="G61" s="19" t="n"/>
      <c r="H61" s="20">
        <f>IF($A61="","",MONTH($A61)&amp;"/"&amp;YEAR($A61))</f>
        <v/>
      </c>
      <c r="I61" s="21">
        <f>IF($A61="",0,YEAR($A61)*12+MONTH($A61))</f>
        <v/>
      </c>
    </row>
    <row r="62">
      <c r="A62" s="16" t="n"/>
      <c r="B62" s="17" t="n"/>
      <c r="C62" s="17" t="n"/>
      <c r="D62" s="18" t="n"/>
      <c r="E62" s="18" t="n"/>
      <c r="F62" s="17" t="n"/>
      <c r="G62" s="19" t="n"/>
      <c r="H62" s="20">
        <f>IF($A62="","",MONTH($A62)&amp;"/"&amp;YEAR($A62))</f>
        <v/>
      </c>
      <c r="I62" s="21">
        <f>IF($A62="",0,YEAR($A62)*12+MONTH($A62))</f>
        <v/>
      </c>
    </row>
    <row r="63">
      <c r="A63" s="16" t="n"/>
      <c r="B63" s="17" t="n"/>
      <c r="C63" s="17" t="n"/>
      <c r="D63" s="18" t="n"/>
      <c r="E63" s="18" t="n"/>
      <c r="F63" s="17" t="n"/>
      <c r="G63" s="19" t="n"/>
      <c r="H63" s="20">
        <f>IF($A63="","",MONTH($A63)&amp;"/"&amp;YEAR($A63))</f>
        <v/>
      </c>
      <c r="I63" s="21">
        <f>IF($A63="",0,YEAR($A63)*12+MONTH($A63))</f>
        <v/>
      </c>
    </row>
    <row r="64">
      <c r="A64" s="16" t="n"/>
      <c r="B64" s="17" t="n"/>
      <c r="C64" s="17" t="n"/>
      <c r="D64" s="18" t="n"/>
      <c r="E64" s="18" t="n"/>
      <c r="F64" s="17" t="n"/>
      <c r="G64" s="19" t="n"/>
      <c r="H64" s="20">
        <f>IF($A64="","",MONTH($A64)&amp;"/"&amp;YEAR($A64))</f>
        <v/>
      </c>
      <c r="I64" s="21">
        <f>IF($A64="",0,YEAR($A64)*12+MONTH($A64))</f>
        <v/>
      </c>
    </row>
    <row r="65">
      <c r="A65" s="16" t="n"/>
      <c r="B65" s="17" t="n"/>
      <c r="C65" s="17" t="n"/>
      <c r="D65" s="18" t="n"/>
      <c r="E65" s="18" t="n"/>
      <c r="F65" s="17" t="n"/>
      <c r="G65" s="19" t="n"/>
      <c r="H65" s="20">
        <f>IF($A65="","",MONTH($A65)&amp;"/"&amp;YEAR($A65))</f>
        <v/>
      </c>
      <c r="I65" s="21">
        <f>IF($A65="",0,YEAR($A65)*12+MONTH($A65))</f>
        <v/>
      </c>
    </row>
    <row r="66">
      <c r="A66" s="16" t="n"/>
      <c r="B66" s="17" t="n"/>
      <c r="C66" s="17" t="n"/>
      <c r="D66" s="18" t="n"/>
      <c r="E66" s="18" t="n"/>
      <c r="F66" s="17" t="n"/>
      <c r="G66" s="19" t="n"/>
      <c r="H66" s="20">
        <f>IF($A66="","",MONTH($A66)&amp;"/"&amp;YEAR($A66))</f>
        <v/>
      </c>
      <c r="I66" s="21">
        <f>IF($A66="",0,YEAR($A66)*12+MONTH($A66))</f>
        <v/>
      </c>
    </row>
    <row r="67">
      <c r="A67" s="16" t="n"/>
      <c r="B67" s="17" t="n"/>
      <c r="C67" s="17" t="n"/>
      <c r="D67" s="18" t="n"/>
      <c r="E67" s="18" t="n"/>
      <c r="F67" s="17" t="n"/>
      <c r="G67" s="19" t="n"/>
      <c r="H67" s="20">
        <f>IF($A67="","",MONTH($A67)&amp;"/"&amp;YEAR($A67))</f>
        <v/>
      </c>
      <c r="I67" s="21">
        <f>IF($A67="",0,YEAR($A67)*12+MONTH($A67))</f>
        <v/>
      </c>
    </row>
    <row r="68">
      <c r="A68" s="16" t="n"/>
      <c r="B68" s="17" t="n"/>
      <c r="C68" s="17" t="n"/>
      <c r="D68" s="18" t="n"/>
      <c r="E68" s="18" t="n"/>
      <c r="F68" s="17" t="n"/>
      <c r="G68" s="19" t="n"/>
      <c r="H68" s="20">
        <f>IF($A68="","",MONTH($A68)&amp;"/"&amp;YEAR($A68))</f>
        <v/>
      </c>
      <c r="I68" s="21">
        <f>IF($A68="",0,YEAR($A68)*12+MONTH($A68))</f>
        <v/>
      </c>
    </row>
    <row r="69">
      <c r="A69" s="16" t="n"/>
      <c r="B69" s="17" t="n"/>
      <c r="C69" s="17" t="n"/>
      <c r="D69" s="18" t="n"/>
      <c r="E69" s="18" t="n"/>
      <c r="F69" s="17" t="n"/>
      <c r="G69" s="19" t="n"/>
      <c r="H69" s="20">
        <f>IF($A69="","",MONTH($A69)&amp;"/"&amp;YEAR($A69))</f>
        <v/>
      </c>
      <c r="I69" s="21">
        <f>IF($A69="",0,YEAR($A69)*12+MONTH($A69))</f>
        <v/>
      </c>
    </row>
    <row r="70">
      <c r="A70" s="16" t="n"/>
      <c r="B70" s="17" t="n"/>
      <c r="C70" s="17" t="n"/>
      <c r="D70" s="18" t="n"/>
      <c r="E70" s="18" t="n"/>
      <c r="F70" s="17" t="n"/>
      <c r="G70" s="19" t="n"/>
      <c r="H70" s="20">
        <f>IF($A70="","",MONTH($A70)&amp;"/"&amp;YEAR($A70))</f>
        <v/>
      </c>
      <c r="I70" s="21">
        <f>IF($A70="",0,YEAR($A70)*12+MONTH($A70))</f>
        <v/>
      </c>
    </row>
    <row r="71">
      <c r="A71" s="16" t="n"/>
      <c r="B71" s="17" t="n"/>
      <c r="C71" s="17" t="n"/>
      <c r="D71" s="18" t="n"/>
      <c r="E71" s="18" t="n"/>
      <c r="F71" s="17" t="n"/>
      <c r="G71" s="19" t="n"/>
      <c r="H71" s="20">
        <f>IF($A71="","",MONTH($A71)&amp;"/"&amp;YEAR($A71))</f>
        <v/>
      </c>
      <c r="I71" s="21">
        <f>IF($A71="",0,YEAR($A71)*12+MONTH($A71))</f>
        <v/>
      </c>
    </row>
    <row r="72">
      <c r="A72" s="16" t="n"/>
      <c r="B72" s="17" t="n"/>
      <c r="C72" s="17" t="n"/>
      <c r="D72" s="18" t="n"/>
      <c r="E72" s="18" t="n"/>
      <c r="F72" s="17" t="n"/>
      <c r="G72" s="19" t="n"/>
      <c r="H72" s="20">
        <f>IF($A72="","",MONTH($A72)&amp;"/"&amp;YEAR($A72))</f>
        <v/>
      </c>
      <c r="I72" s="21">
        <f>IF($A72="",0,YEAR($A72)*12+MONTH($A72))</f>
        <v/>
      </c>
    </row>
    <row r="73">
      <c r="A73" s="16" t="n"/>
      <c r="B73" s="17" t="n"/>
      <c r="C73" s="17" t="n"/>
      <c r="D73" s="18" t="n"/>
      <c r="E73" s="18" t="n"/>
      <c r="F73" s="17" t="n"/>
      <c r="G73" s="19" t="n"/>
      <c r="H73" s="20">
        <f>IF($A73="","",MONTH($A73)&amp;"/"&amp;YEAR($A73))</f>
        <v/>
      </c>
      <c r="I73" s="21">
        <f>IF($A73="",0,YEAR($A73)*12+MONTH($A73))</f>
        <v/>
      </c>
    </row>
    <row r="74">
      <c r="A74" s="16" t="n"/>
      <c r="B74" s="17" t="n"/>
      <c r="C74" s="17" t="n"/>
      <c r="D74" s="18" t="n"/>
      <c r="E74" s="18" t="n"/>
      <c r="F74" s="17" t="n"/>
      <c r="G74" s="19" t="n"/>
      <c r="H74" s="20">
        <f>IF($A74="","",MONTH($A74)&amp;"/"&amp;YEAR($A74))</f>
        <v/>
      </c>
      <c r="I74" s="21">
        <f>IF($A74="",0,YEAR($A74)*12+MONTH($A74))</f>
        <v/>
      </c>
    </row>
    <row r="75">
      <c r="A75" s="16" t="n"/>
      <c r="B75" s="17" t="n"/>
      <c r="C75" s="17" t="n"/>
      <c r="D75" s="18" t="n"/>
      <c r="E75" s="18" t="n"/>
      <c r="F75" s="17" t="n"/>
      <c r="G75" s="19" t="n"/>
      <c r="H75" s="20">
        <f>IF($A75="","",MONTH($A75)&amp;"/"&amp;YEAR($A75))</f>
        <v/>
      </c>
      <c r="I75" s="21">
        <f>IF($A75="",0,YEAR($A75)*12+MONTH($A75))</f>
        <v/>
      </c>
    </row>
    <row r="76">
      <c r="A76" s="16" t="n"/>
      <c r="B76" s="17" t="n"/>
      <c r="C76" s="17" t="n"/>
      <c r="D76" s="18" t="n"/>
      <c r="E76" s="18" t="n"/>
      <c r="F76" s="17" t="n"/>
      <c r="G76" s="19" t="n"/>
      <c r="H76" s="20">
        <f>IF($A76="","",MONTH($A76)&amp;"/"&amp;YEAR($A76))</f>
        <v/>
      </c>
      <c r="I76" s="21">
        <f>IF($A76="",0,YEAR($A76)*12+MONTH($A76))</f>
        <v/>
      </c>
    </row>
    <row r="77">
      <c r="A77" s="16" t="n"/>
      <c r="B77" s="17" t="n"/>
      <c r="C77" s="17" t="n"/>
      <c r="D77" s="18" t="n"/>
      <c r="E77" s="18" t="n"/>
      <c r="F77" s="17" t="n"/>
      <c r="G77" s="19" t="n"/>
      <c r="H77" s="20">
        <f>IF($A77="","",MONTH($A77)&amp;"/"&amp;YEAR($A77))</f>
        <v/>
      </c>
      <c r="I77" s="21">
        <f>IF($A77="",0,YEAR($A77)*12+MONTH($A77))</f>
        <v/>
      </c>
    </row>
    <row r="78">
      <c r="A78" s="16" t="n"/>
      <c r="B78" s="17" t="n"/>
      <c r="C78" s="17" t="n"/>
      <c r="D78" s="18" t="n"/>
      <c r="E78" s="18" t="n"/>
      <c r="F78" s="17" t="n"/>
      <c r="G78" s="19" t="n"/>
      <c r="H78" s="20">
        <f>IF($A78="","",MONTH($A78)&amp;"/"&amp;YEAR($A78))</f>
        <v/>
      </c>
      <c r="I78" s="21">
        <f>IF($A78="",0,YEAR($A78)*12+MONTH($A78))</f>
        <v/>
      </c>
    </row>
    <row r="79">
      <c r="A79" s="16" t="n"/>
      <c r="B79" s="17" t="n"/>
      <c r="C79" s="17" t="n"/>
      <c r="D79" s="18" t="n"/>
      <c r="E79" s="18" t="n"/>
      <c r="F79" s="17" t="n"/>
      <c r="G79" s="19" t="n"/>
      <c r="H79" s="20">
        <f>IF($A79="","",MONTH($A79)&amp;"/"&amp;YEAR($A79))</f>
        <v/>
      </c>
      <c r="I79" s="21">
        <f>IF($A79="",0,YEAR($A79)*12+MONTH($A79))</f>
        <v/>
      </c>
    </row>
    <row r="80">
      <c r="A80" s="16" t="n"/>
      <c r="B80" s="17" t="n"/>
      <c r="C80" s="17" t="n"/>
      <c r="D80" s="18" t="n"/>
      <c r="E80" s="18" t="n"/>
      <c r="F80" s="17" t="n"/>
      <c r="G80" s="19" t="n"/>
      <c r="H80" s="20">
        <f>IF($A80="","",MONTH($A80)&amp;"/"&amp;YEAR($A80))</f>
        <v/>
      </c>
      <c r="I80" s="21">
        <f>IF($A80="",0,YEAR($A80)*12+MONTH($A80))</f>
        <v/>
      </c>
    </row>
    <row r="81">
      <c r="A81" s="16" t="n"/>
      <c r="B81" s="17" t="n"/>
      <c r="C81" s="17" t="n"/>
      <c r="D81" s="18" t="n"/>
      <c r="E81" s="18" t="n"/>
      <c r="F81" s="17" t="n"/>
      <c r="G81" s="19" t="n"/>
      <c r="H81" s="20">
        <f>IF($A81="","",MONTH($A81)&amp;"/"&amp;YEAR($A81))</f>
        <v/>
      </c>
      <c r="I81" s="21">
        <f>IF($A81="",0,YEAR($A81)*12+MONTH($A81))</f>
        <v/>
      </c>
    </row>
    <row r="82">
      <c r="A82" s="16" t="n"/>
      <c r="B82" s="17" t="n"/>
      <c r="C82" s="17" t="n"/>
      <c r="D82" s="18" t="n"/>
      <c r="E82" s="18" t="n"/>
      <c r="F82" s="17" t="n"/>
      <c r="G82" s="19" t="n"/>
      <c r="H82" s="20">
        <f>IF($A82="","",MONTH($A82)&amp;"/"&amp;YEAR($A82))</f>
        <v/>
      </c>
      <c r="I82" s="21">
        <f>IF($A82="",0,YEAR($A82)*12+MONTH($A82))</f>
        <v/>
      </c>
    </row>
    <row r="83">
      <c r="A83" s="16" t="n"/>
      <c r="B83" s="17" t="n"/>
      <c r="C83" s="17" t="n"/>
      <c r="D83" s="18" t="n"/>
      <c r="E83" s="18" t="n"/>
      <c r="F83" s="17" t="n"/>
      <c r="G83" s="19" t="n"/>
      <c r="H83" s="20">
        <f>IF($A83="","",MONTH($A83)&amp;"/"&amp;YEAR($A83))</f>
        <v/>
      </c>
      <c r="I83" s="21">
        <f>IF($A83="",0,YEAR($A83)*12+MONTH($A83))</f>
        <v/>
      </c>
    </row>
    <row r="84">
      <c r="A84" s="16" t="n"/>
      <c r="B84" s="17" t="n"/>
      <c r="C84" s="17" t="n"/>
      <c r="D84" s="18" t="n"/>
      <c r="E84" s="18" t="n"/>
      <c r="F84" s="17" t="n"/>
      <c r="G84" s="19" t="n"/>
      <c r="H84" s="20">
        <f>IF($A84="","",MONTH($A84)&amp;"/"&amp;YEAR($A84))</f>
        <v/>
      </c>
      <c r="I84" s="21">
        <f>IF($A84="",0,YEAR($A84)*12+MONTH($A84))</f>
        <v/>
      </c>
    </row>
    <row r="85">
      <c r="A85" s="16" t="n"/>
      <c r="B85" s="17" t="n"/>
      <c r="C85" s="17" t="n"/>
      <c r="D85" s="18" t="n"/>
      <c r="E85" s="18" t="n"/>
      <c r="F85" s="17" t="n"/>
      <c r="G85" s="19" t="n"/>
      <c r="H85" s="20">
        <f>IF($A85="","",MONTH($A85)&amp;"/"&amp;YEAR($A85))</f>
        <v/>
      </c>
      <c r="I85" s="21">
        <f>IF($A85="",0,YEAR($A85)*12+MONTH($A85))</f>
        <v/>
      </c>
    </row>
    <row r="86">
      <c r="A86" s="16" t="n"/>
      <c r="B86" s="17" t="n"/>
      <c r="C86" s="17" t="n"/>
      <c r="D86" s="18" t="n"/>
      <c r="E86" s="18" t="n"/>
      <c r="F86" s="17" t="n"/>
      <c r="G86" s="19" t="n"/>
      <c r="H86" s="20">
        <f>IF($A86="","",MONTH($A86)&amp;"/"&amp;YEAR($A86))</f>
        <v/>
      </c>
      <c r="I86" s="21">
        <f>IF($A86="",0,YEAR($A86)*12+MONTH($A86))</f>
        <v/>
      </c>
    </row>
    <row r="87">
      <c r="A87" s="16" t="n"/>
      <c r="B87" s="17" t="n"/>
      <c r="C87" s="17" t="n"/>
      <c r="D87" s="18" t="n"/>
      <c r="E87" s="18" t="n"/>
      <c r="F87" s="17" t="n"/>
      <c r="G87" s="19" t="n"/>
      <c r="H87" s="20">
        <f>IF($A87="","",MONTH($A87)&amp;"/"&amp;YEAR($A87))</f>
        <v/>
      </c>
      <c r="I87" s="21">
        <f>IF($A87="",0,YEAR($A87)*12+MONTH($A87))</f>
        <v/>
      </c>
    </row>
    <row r="88">
      <c r="A88" s="16" t="n"/>
      <c r="B88" s="17" t="n"/>
      <c r="C88" s="17" t="n"/>
      <c r="D88" s="18" t="n"/>
      <c r="E88" s="18" t="n"/>
      <c r="F88" s="17" t="n"/>
      <c r="G88" s="19" t="n"/>
      <c r="H88" s="20">
        <f>IF($A88="","",MONTH($A88)&amp;"/"&amp;YEAR($A88))</f>
        <v/>
      </c>
      <c r="I88" s="21">
        <f>IF($A88="",0,YEAR($A88)*12+MONTH($A88))</f>
        <v/>
      </c>
    </row>
    <row r="89">
      <c r="A89" s="16" t="n"/>
      <c r="B89" s="17" t="n"/>
      <c r="C89" s="17" t="n"/>
      <c r="D89" s="18" t="n"/>
      <c r="E89" s="18" t="n"/>
      <c r="F89" s="17" t="n"/>
      <c r="G89" s="19" t="n"/>
      <c r="H89" s="20">
        <f>IF($A89="","",MONTH($A89)&amp;"/"&amp;YEAR($A89))</f>
        <v/>
      </c>
      <c r="I89" s="21">
        <f>IF($A89="",0,YEAR($A89)*12+MONTH($A89))</f>
        <v/>
      </c>
    </row>
    <row r="90">
      <c r="A90" s="16" t="n"/>
      <c r="B90" s="17" t="n"/>
      <c r="C90" s="17" t="n"/>
      <c r="D90" s="18" t="n"/>
      <c r="E90" s="18" t="n"/>
      <c r="F90" s="17" t="n"/>
      <c r="G90" s="19" t="n"/>
      <c r="H90" s="20">
        <f>IF($A90="","",MONTH($A90)&amp;"/"&amp;YEAR($A90))</f>
        <v/>
      </c>
      <c r="I90" s="21">
        <f>IF($A90="",0,YEAR($A90)*12+MONTH($A90))</f>
        <v/>
      </c>
    </row>
    <row r="91">
      <c r="A91" s="16" t="n"/>
      <c r="B91" s="17" t="n"/>
      <c r="C91" s="17" t="n"/>
      <c r="D91" s="18" t="n"/>
      <c r="E91" s="18" t="n"/>
      <c r="F91" s="17" t="n"/>
      <c r="G91" s="19" t="n"/>
      <c r="H91" s="20">
        <f>IF($A91="","",MONTH($A91)&amp;"/"&amp;YEAR($A91))</f>
        <v/>
      </c>
      <c r="I91" s="21">
        <f>IF($A91="",0,YEAR($A91)*12+MONTH($A91))</f>
        <v/>
      </c>
    </row>
    <row r="92">
      <c r="A92" s="16" t="n"/>
      <c r="B92" s="17" t="n"/>
      <c r="C92" s="17" t="n"/>
      <c r="D92" s="18" t="n"/>
      <c r="E92" s="18" t="n"/>
      <c r="F92" s="17" t="n"/>
      <c r="G92" s="19" t="n"/>
      <c r="H92" s="20">
        <f>IF($A92="","",MONTH($A92)&amp;"/"&amp;YEAR($A92))</f>
        <v/>
      </c>
      <c r="I92" s="21">
        <f>IF($A92="",0,YEAR($A92)*12+MONTH($A92))</f>
        <v/>
      </c>
    </row>
    <row r="93">
      <c r="A93" s="16" t="n"/>
      <c r="B93" s="17" t="n"/>
      <c r="C93" s="17" t="n"/>
      <c r="D93" s="18" t="n"/>
      <c r="E93" s="18" t="n"/>
      <c r="F93" s="17" t="n"/>
      <c r="G93" s="19" t="n"/>
      <c r="H93" s="20">
        <f>IF($A93="","",MONTH($A93)&amp;"/"&amp;YEAR($A93))</f>
        <v/>
      </c>
      <c r="I93" s="21">
        <f>IF($A93="",0,YEAR($A93)*12+MONTH($A93))</f>
        <v/>
      </c>
    </row>
    <row r="94">
      <c r="A94" s="16" t="n"/>
      <c r="B94" s="17" t="n"/>
      <c r="C94" s="17" t="n"/>
      <c r="D94" s="18" t="n"/>
      <c r="E94" s="18" t="n"/>
      <c r="F94" s="17" t="n"/>
      <c r="G94" s="19" t="n"/>
      <c r="H94" s="20">
        <f>IF($A94="","",MONTH($A94)&amp;"/"&amp;YEAR($A94))</f>
        <v/>
      </c>
      <c r="I94" s="21">
        <f>IF($A94="",0,YEAR($A94)*12+MONTH($A94))</f>
        <v/>
      </c>
    </row>
    <row r="95">
      <c r="A95" s="16" t="n"/>
      <c r="B95" s="17" t="n"/>
      <c r="C95" s="17" t="n"/>
      <c r="D95" s="18" t="n"/>
      <c r="E95" s="18" t="n"/>
      <c r="F95" s="17" t="n"/>
      <c r="G95" s="19" t="n"/>
      <c r="H95" s="20">
        <f>IF($A95="","",MONTH($A95)&amp;"/"&amp;YEAR($A95))</f>
        <v/>
      </c>
      <c r="I95" s="21">
        <f>IF($A95="",0,YEAR($A95)*12+MONTH($A95))</f>
        <v/>
      </c>
    </row>
    <row r="96">
      <c r="A96" s="16" t="n"/>
      <c r="B96" s="17" t="n"/>
      <c r="C96" s="17" t="n"/>
      <c r="D96" s="18" t="n"/>
      <c r="E96" s="18" t="n"/>
      <c r="F96" s="17" t="n"/>
      <c r="G96" s="19" t="n"/>
      <c r="H96" s="20">
        <f>IF($A96="","",MONTH($A96)&amp;"/"&amp;YEAR($A96))</f>
        <v/>
      </c>
      <c r="I96" s="21">
        <f>IF($A96="",0,YEAR($A96)*12+MONTH($A96))</f>
        <v/>
      </c>
    </row>
    <row r="97">
      <c r="A97" s="16" t="n"/>
      <c r="B97" s="17" t="n"/>
      <c r="C97" s="17" t="n"/>
      <c r="D97" s="18" t="n"/>
      <c r="E97" s="18" t="n"/>
      <c r="F97" s="17" t="n"/>
      <c r="G97" s="19" t="n"/>
      <c r="H97" s="20">
        <f>IF($A97="","",MONTH($A97)&amp;"/"&amp;YEAR($A97))</f>
        <v/>
      </c>
      <c r="I97" s="21">
        <f>IF($A97="",0,YEAR($A97)*12+MONTH($A97))</f>
        <v/>
      </c>
    </row>
    <row r="98">
      <c r="A98" s="16" t="n"/>
      <c r="B98" s="17" t="n"/>
      <c r="C98" s="17" t="n"/>
      <c r="D98" s="18" t="n"/>
      <c r="E98" s="18" t="n"/>
      <c r="F98" s="17" t="n"/>
      <c r="G98" s="19" t="n"/>
      <c r="H98" s="20">
        <f>IF($A98="","",MONTH($A98)&amp;"/"&amp;YEAR($A98))</f>
        <v/>
      </c>
      <c r="I98" s="21">
        <f>IF($A98="",0,YEAR($A98)*12+MONTH($A98))</f>
        <v/>
      </c>
    </row>
    <row r="99">
      <c r="A99" s="16" t="n"/>
      <c r="B99" s="17" t="n"/>
      <c r="C99" s="17" t="n"/>
      <c r="D99" s="18" t="n"/>
      <c r="E99" s="18" t="n"/>
      <c r="F99" s="17" t="n"/>
      <c r="G99" s="19" t="n"/>
      <c r="H99" s="20">
        <f>IF($A99="","",MONTH($A99)&amp;"/"&amp;YEAR($A99))</f>
        <v/>
      </c>
      <c r="I99" s="21">
        <f>IF($A99="",0,YEAR($A99)*12+MONTH($A99))</f>
        <v/>
      </c>
    </row>
    <row r="100">
      <c r="A100" s="16" t="n"/>
      <c r="B100" s="17" t="n"/>
      <c r="C100" s="17" t="n"/>
      <c r="D100" s="18" t="n"/>
      <c r="E100" s="18" t="n"/>
      <c r="F100" s="17" t="n"/>
      <c r="G100" s="19" t="n"/>
      <c r="H100" s="20">
        <f>IF($A100="","",MONTH($A100)&amp;"/"&amp;YEAR($A100))</f>
        <v/>
      </c>
      <c r="I100" s="21">
        <f>IF($A100="",0,YEAR($A100)*12+MONTH($A100))</f>
        <v/>
      </c>
    </row>
    <row r="101">
      <c r="A101" s="16" t="n"/>
      <c r="B101" s="17" t="n"/>
      <c r="C101" s="17" t="n"/>
      <c r="D101" s="18" t="n"/>
      <c r="E101" s="18" t="n"/>
      <c r="F101" s="17" t="n"/>
      <c r="G101" s="19" t="n"/>
      <c r="H101" s="20">
        <f>IF($A101="","",MONTH($A101)&amp;"/"&amp;YEAR($A101))</f>
        <v/>
      </c>
      <c r="I101" s="21">
        <f>IF($A101="",0,YEAR($A101)*12+MONTH($A101))</f>
        <v/>
      </c>
    </row>
    <row r="102">
      <c r="A102" s="16" t="n"/>
      <c r="B102" s="17" t="n"/>
      <c r="C102" s="17" t="n"/>
      <c r="D102" s="18" t="n"/>
      <c r="E102" s="18" t="n"/>
      <c r="F102" s="17" t="n"/>
      <c r="G102" s="19" t="n"/>
      <c r="H102" s="20">
        <f>IF($A102="","",MONTH($A102)&amp;"/"&amp;YEAR($A102))</f>
        <v/>
      </c>
      <c r="I102" s="21">
        <f>IF($A102="",0,YEAR($A102)*12+MONTH($A102))</f>
        <v/>
      </c>
    </row>
    <row r="103">
      <c r="A103" s="16" t="n"/>
      <c r="B103" s="17" t="n"/>
      <c r="C103" s="17" t="n"/>
      <c r="D103" s="18" t="n"/>
      <c r="E103" s="18" t="n"/>
      <c r="F103" s="17" t="n"/>
      <c r="G103" s="19" t="n"/>
      <c r="H103" s="20">
        <f>IF($A103="","",MONTH($A103)&amp;"/"&amp;YEAR($A103))</f>
        <v/>
      </c>
      <c r="I103" s="21">
        <f>IF($A103="",0,YEAR($A103)*12+MONTH($A103))</f>
        <v/>
      </c>
    </row>
    <row r="104">
      <c r="A104" s="16" t="n"/>
      <c r="B104" s="17" t="n"/>
      <c r="C104" s="17" t="n"/>
      <c r="D104" s="18" t="n"/>
      <c r="E104" s="18" t="n"/>
      <c r="F104" s="17" t="n"/>
      <c r="G104" s="19" t="n"/>
      <c r="H104" s="20">
        <f>IF($A104="","",MONTH($A104)&amp;"/"&amp;YEAR($A104))</f>
        <v/>
      </c>
      <c r="I104" s="21">
        <f>IF($A104="",0,YEAR($A104)*12+MONTH($A104))</f>
        <v/>
      </c>
    </row>
    <row r="105">
      <c r="A105" s="16" t="n"/>
      <c r="B105" s="17" t="n"/>
      <c r="C105" s="17" t="n"/>
      <c r="D105" s="18" t="n"/>
      <c r="E105" s="18" t="n"/>
      <c r="F105" s="17" t="n"/>
      <c r="G105" s="19" t="n"/>
      <c r="H105" s="20">
        <f>IF($A105="","",MONTH($A105)&amp;"/"&amp;YEAR($A105))</f>
        <v/>
      </c>
      <c r="I105" s="21">
        <f>IF($A105="",0,YEAR($A105)*12+MONTH($A105))</f>
        <v/>
      </c>
    </row>
    <row r="106">
      <c r="A106" s="16" t="n"/>
      <c r="B106" s="17" t="n"/>
      <c r="C106" s="17" t="n"/>
      <c r="D106" s="18" t="n"/>
      <c r="E106" s="18" t="n"/>
      <c r="F106" s="17" t="n"/>
      <c r="G106" s="19" t="n"/>
      <c r="H106" s="20">
        <f>IF($A106="","",MONTH($A106)&amp;"/"&amp;YEAR($A106))</f>
        <v/>
      </c>
      <c r="I106" s="21">
        <f>IF($A106="",0,YEAR($A106)*12+MONTH($A106))</f>
        <v/>
      </c>
    </row>
    <row r="107">
      <c r="A107" s="16" t="n"/>
      <c r="B107" s="17" t="n"/>
      <c r="C107" s="17" t="n"/>
      <c r="D107" s="18" t="n"/>
      <c r="E107" s="18" t="n"/>
      <c r="F107" s="17" t="n"/>
      <c r="G107" s="19" t="n"/>
      <c r="H107" s="20">
        <f>IF($A107="","",MONTH($A107)&amp;"/"&amp;YEAR($A107))</f>
        <v/>
      </c>
      <c r="I107" s="21">
        <f>IF($A107="",0,YEAR($A107)*12+MONTH($A107))</f>
        <v/>
      </c>
    </row>
    <row r="108">
      <c r="A108" s="16" t="n"/>
      <c r="B108" s="17" t="n"/>
      <c r="C108" s="17" t="n"/>
      <c r="D108" s="18" t="n"/>
      <c r="E108" s="18" t="n"/>
      <c r="F108" s="17" t="n"/>
      <c r="G108" s="19" t="n"/>
      <c r="H108" s="20">
        <f>IF($A108="","",MONTH($A108)&amp;"/"&amp;YEAR($A108))</f>
        <v/>
      </c>
      <c r="I108" s="21">
        <f>IF($A108="",0,YEAR($A108)*12+MONTH($A108))</f>
        <v/>
      </c>
    </row>
    <row r="109">
      <c r="A109" s="16" t="n"/>
      <c r="B109" s="17" t="n"/>
      <c r="C109" s="17" t="n"/>
      <c r="D109" s="18" t="n"/>
      <c r="E109" s="18" t="n"/>
      <c r="F109" s="17" t="n"/>
      <c r="G109" s="19" t="n"/>
      <c r="H109" s="20">
        <f>IF($A109="","",MONTH($A109)&amp;"/"&amp;YEAR($A109))</f>
        <v/>
      </c>
      <c r="I109" s="21">
        <f>IF($A109="",0,YEAR($A109)*12+MONTH($A109))</f>
        <v/>
      </c>
    </row>
    <row r="110">
      <c r="A110" s="16" t="n"/>
      <c r="B110" s="17" t="n"/>
      <c r="C110" s="17" t="n"/>
      <c r="D110" s="18" t="n"/>
      <c r="E110" s="18" t="n"/>
      <c r="F110" s="17" t="n"/>
      <c r="G110" s="19" t="n"/>
      <c r="H110" s="20">
        <f>IF($A110="","",MONTH($A110)&amp;"/"&amp;YEAR($A110))</f>
        <v/>
      </c>
      <c r="I110" s="21">
        <f>IF($A110="",0,YEAR($A110)*12+MONTH($A110))</f>
        <v/>
      </c>
    </row>
    <row r="111">
      <c r="A111" s="16" t="n"/>
      <c r="B111" s="17" t="n"/>
      <c r="C111" s="17" t="n"/>
      <c r="D111" s="18" t="n"/>
      <c r="E111" s="18" t="n"/>
      <c r="F111" s="17" t="n"/>
      <c r="G111" s="19" t="n"/>
      <c r="H111" s="20">
        <f>IF($A111="","",MONTH($A111)&amp;"/"&amp;YEAR($A111))</f>
        <v/>
      </c>
      <c r="I111" s="21">
        <f>IF($A111="",0,YEAR($A111)*12+MONTH($A111))</f>
        <v/>
      </c>
    </row>
    <row r="112">
      <c r="A112" s="16" t="n"/>
      <c r="B112" s="17" t="n"/>
      <c r="C112" s="17" t="n"/>
      <c r="D112" s="18" t="n"/>
      <c r="E112" s="18" t="n"/>
      <c r="F112" s="17" t="n"/>
      <c r="G112" s="19" t="n"/>
      <c r="H112" s="20">
        <f>IF($A112="","",MONTH($A112)&amp;"/"&amp;YEAR($A112))</f>
        <v/>
      </c>
      <c r="I112" s="21">
        <f>IF($A112="",0,YEAR($A112)*12+MONTH($A112))</f>
        <v/>
      </c>
    </row>
    <row r="113">
      <c r="A113" s="16" t="n"/>
      <c r="B113" s="17" t="n"/>
      <c r="C113" s="17" t="n"/>
      <c r="D113" s="18" t="n"/>
      <c r="E113" s="18" t="n"/>
      <c r="F113" s="17" t="n"/>
      <c r="G113" s="19" t="n"/>
      <c r="H113" s="20">
        <f>IF($A113="","",MONTH($A113)&amp;"/"&amp;YEAR($A113))</f>
        <v/>
      </c>
      <c r="I113" s="21">
        <f>IF($A113="",0,YEAR($A113)*12+MONTH($A113))</f>
        <v/>
      </c>
    </row>
    <row r="114">
      <c r="A114" s="16" t="n"/>
      <c r="B114" s="17" t="n"/>
      <c r="C114" s="17" t="n"/>
      <c r="D114" s="18" t="n"/>
      <c r="E114" s="18" t="n"/>
      <c r="F114" s="17" t="n"/>
      <c r="G114" s="19" t="n"/>
      <c r="H114" s="20">
        <f>IF($A114="","",MONTH($A114)&amp;"/"&amp;YEAR($A114))</f>
        <v/>
      </c>
      <c r="I114" s="21">
        <f>IF($A114="",0,YEAR($A114)*12+MONTH($A114))</f>
        <v/>
      </c>
    </row>
    <row r="115">
      <c r="A115" s="16" t="n"/>
      <c r="B115" s="17" t="n"/>
      <c r="C115" s="17" t="n"/>
      <c r="D115" s="18" t="n"/>
      <c r="E115" s="18" t="n"/>
      <c r="F115" s="17" t="n"/>
      <c r="G115" s="19" t="n"/>
      <c r="H115" s="20">
        <f>IF($A115="","",MONTH($A115)&amp;"/"&amp;YEAR($A115))</f>
        <v/>
      </c>
      <c r="I115" s="21">
        <f>IF($A115="",0,YEAR($A115)*12+MONTH($A115))</f>
        <v/>
      </c>
    </row>
    <row r="116">
      <c r="A116" s="16" t="n"/>
      <c r="B116" s="17" t="n"/>
      <c r="C116" s="17" t="n"/>
      <c r="D116" s="18" t="n"/>
      <c r="E116" s="18" t="n"/>
      <c r="F116" s="17" t="n"/>
      <c r="G116" s="19" t="n"/>
      <c r="H116" s="20">
        <f>IF($A116="","",MONTH($A116)&amp;"/"&amp;YEAR($A116))</f>
        <v/>
      </c>
      <c r="I116" s="21">
        <f>IF($A116="",0,YEAR($A116)*12+MONTH($A116))</f>
        <v/>
      </c>
    </row>
    <row r="117">
      <c r="A117" s="16" t="n"/>
      <c r="B117" s="17" t="n"/>
      <c r="C117" s="17" t="n"/>
      <c r="D117" s="18" t="n"/>
      <c r="E117" s="18" t="n"/>
      <c r="F117" s="17" t="n"/>
      <c r="G117" s="19" t="n"/>
      <c r="H117" s="20">
        <f>IF($A117="","",MONTH($A117)&amp;"/"&amp;YEAR($A117))</f>
        <v/>
      </c>
      <c r="I117" s="21">
        <f>IF($A117="",0,YEAR($A117)*12+MONTH($A117))</f>
        <v/>
      </c>
    </row>
    <row r="118">
      <c r="A118" s="16" t="n"/>
      <c r="B118" s="17" t="n"/>
      <c r="C118" s="17" t="n"/>
      <c r="D118" s="18" t="n"/>
      <c r="E118" s="18" t="n"/>
      <c r="F118" s="17" t="n"/>
      <c r="G118" s="19" t="n"/>
      <c r="H118" s="20">
        <f>IF($A118="","",MONTH($A118)&amp;"/"&amp;YEAR($A118))</f>
        <v/>
      </c>
      <c r="I118" s="21">
        <f>IF($A118="",0,YEAR($A118)*12+MONTH($A118))</f>
        <v/>
      </c>
    </row>
    <row r="119">
      <c r="A119" s="16" t="n"/>
      <c r="B119" s="17" t="n"/>
      <c r="C119" s="17" t="n"/>
      <c r="D119" s="18" t="n"/>
      <c r="E119" s="18" t="n"/>
      <c r="F119" s="17" t="n"/>
      <c r="G119" s="19" t="n"/>
      <c r="H119" s="20">
        <f>IF($A119="","",MONTH($A119)&amp;"/"&amp;YEAR($A119))</f>
        <v/>
      </c>
      <c r="I119" s="21">
        <f>IF($A119="",0,YEAR($A119)*12+MONTH($A119))</f>
        <v/>
      </c>
    </row>
    <row r="120">
      <c r="A120" s="16" t="n"/>
      <c r="B120" s="17" t="n"/>
      <c r="C120" s="17" t="n"/>
      <c r="D120" s="18" t="n"/>
      <c r="E120" s="18" t="n"/>
      <c r="F120" s="17" t="n"/>
      <c r="G120" s="19" t="n"/>
      <c r="H120" s="20">
        <f>IF($A120="","",MONTH($A120)&amp;"/"&amp;YEAR($A120))</f>
        <v/>
      </c>
      <c r="I120" s="21">
        <f>IF($A120="",0,YEAR($A120)*12+MONTH($A120))</f>
        <v/>
      </c>
    </row>
    <row r="121">
      <c r="A121" s="16" t="n"/>
      <c r="B121" s="17" t="n"/>
      <c r="C121" s="17" t="n"/>
      <c r="D121" s="18" t="n"/>
      <c r="E121" s="18" t="n"/>
      <c r="F121" s="17" t="n"/>
      <c r="G121" s="19" t="n"/>
      <c r="H121" s="20">
        <f>IF($A121="","",MONTH($A121)&amp;"/"&amp;YEAR($A121))</f>
        <v/>
      </c>
      <c r="I121" s="21">
        <f>IF($A121="",0,YEAR($A121)*12+MONTH($A121))</f>
        <v/>
      </c>
    </row>
    <row r="122">
      <c r="A122" s="16" t="n"/>
      <c r="B122" s="17" t="n"/>
      <c r="C122" s="17" t="n"/>
      <c r="D122" s="18" t="n"/>
      <c r="E122" s="18" t="n"/>
      <c r="F122" s="17" t="n"/>
      <c r="G122" s="19" t="n"/>
      <c r="H122" s="20">
        <f>IF($A122="","",MONTH($A122)&amp;"/"&amp;YEAR($A122))</f>
        <v/>
      </c>
      <c r="I122" s="21">
        <f>IF($A122="",0,YEAR($A122)*12+MONTH($A122))</f>
        <v/>
      </c>
    </row>
    <row r="123">
      <c r="A123" s="16" t="n"/>
      <c r="B123" s="17" t="n"/>
      <c r="C123" s="17" t="n"/>
      <c r="D123" s="18" t="n"/>
      <c r="E123" s="18" t="n"/>
      <c r="F123" s="17" t="n"/>
      <c r="G123" s="19" t="n"/>
      <c r="H123" s="20">
        <f>IF($A123="","",MONTH($A123)&amp;"/"&amp;YEAR($A123))</f>
        <v/>
      </c>
      <c r="I123" s="21">
        <f>IF($A123="",0,YEAR($A123)*12+MONTH($A123))</f>
        <v/>
      </c>
    </row>
    <row r="124">
      <c r="A124" s="16" t="n"/>
      <c r="B124" s="17" t="n"/>
      <c r="C124" s="17" t="n"/>
      <c r="D124" s="18" t="n"/>
      <c r="E124" s="18" t="n"/>
      <c r="F124" s="17" t="n"/>
      <c r="G124" s="19" t="n"/>
      <c r="H124" s="20">
        <f>IF($A124="","",MONTH($A124)&amp;"/"&amp;YEAR($A124))</f>
        <v/>
      </c>
      <c r="I124" s="21">
        <f>IF($A124="",0,YEAR($A124)*12+MONTH($A124))</f>
        <v/>
      </c>
    </row>
    <row r="125">
      <c r="A125" s="16" t="n"/>
      <c r="B125" s="17" t="n"/>
      <c r="C125" s="17" t="n"/>
      <c r="D125" s="18" t="n"/>
      <c r="E125" s="18" t="n"/>
      <c r="F125" s="17" t="n"/>
      <c r="G125" s="19" t="n"/>
      <c r="H125" s="20">
        <f>IF($A125="","",MONTH($A125)&amp;"/"&amp;YEAR($A125))</f>
        <v/>
      </c>
      <c r="I125" s="21">
        <f>IF($A125="",0,YEAR($A125)*12+MONTH($A125))</f>
        <v/>
      </c>
    </row>
    <row r="126">
      <c r="A126" s="16" t="n"/>
      <c r="B126" s="17" t="n"/>
      <c r="C126" s="17" t="n"/>
      <c r="D126" s="18" t="n"/>
      <c r="E126" s="18" t="n"/>
      <c r="F126" s="17" t="n"/>
      <c r="G126" s="19" t="n"/>
      <c r="H126" s="20">
        <f>IF($A126="","",MONTH($A126)&amp;"/"&amp;YEAR($A126))</f>
        <v/>
      </c>
      <c r="I126" s="21">
        <f>IF($A126="",0,YEAR($A126)*12+MONTH($A126))</f>
        <v/>
      </c>
    </row>
    <row r="127">
      <c r="A127" s="16" t="n"/>
      <c r="B127" s="17" t="n"/>
      <c r="C127" s="17" t="n"/>
      <c r="D127" s="18" t="n"/>
      <c r="E127" s="18" t="n"/>
      <c r="F127" s="17" t="n"/>
      <c r="G127" s="19" t="n"/>
      <c r="H127" s="20">
        <f>IF($A127="","",MONTH($A127)&amp;"/"&amp;YEAR($A127))</f>
        <v/>
      </c>
      <c r="I127" s="21">
        <f>IF($A127="",0,YEAR($A127)*12+MONTH($A127))</f>
        <v/>
      </c>
    </row>
    <row r="128">
      <c r="A128" s="16" t="n"/>
      <c r="B128" s="17" t="n"/>
      <c r="C128" s="17" t="n"/>
      <c r="D128" s="18" t="n"/>
      <c r="E128" s="18" t="n"/>
      <c r="F128" s="17" t="n"/>
      <c r="G128" s="19" t="n"/>
      <c r="H128" s="20">
        <f>IF($A128="","",MONTH($A128)&amp;"/"&amp;YEAR($A128))</f>
        <v/>
      </c>
      <c r="I128" s="21">
        <f>IF($A128="",0,YEAR($A128)*12+MONTH($A128))</f>
        <v/>
      </c>
    </row>
    <row r="129">
      <c r="A129" s="16" t="n"/>
      <c r="B129" s="17" t="n"/>
      <c r="C129" s="17" t="n"/>
      <c r="D129" s="18" t="n"/>
      <c r="E129" s="18" t="n"/>
      <c r="F129" s="17" t="n"/>
      <c r="G129" s="19" t="n"/>
      <c r="H129" s="20">
        <f>IF($A129="","",MONTH($A129)&amp;"/"&amp;YEAR($A129))</f>
        <v/>
      </c>
      <c r="I129" s="21">
        <f>IF($A129="",0,YEAR($A129)*12+MONTH($A129))</f>
        <v/>
      </c>
    </row>
    <row r="130">
      <c r="A130" s="16" t="n"/>
      <c r="B130" s="17" t="n"/>
      <c r="C130" s="17" t="n"/>
      <c r="D130" s="18" t="n"/>
      <c r="E130" s="18" t="n"/>
      <c r="F130" s="17" t="n"/>
      <c r="G130" s="19" t="n"/>
      <c r="H130" s="20">
        <f>IF($A130="","",MONTH($A130)&amp;"/"&amp;YEAR($A130))</f>
        <v/>
      </c>
      <c r="I130" s="21">
        <f>IF($A130="",0,YEAR($A130)*12+MONTH($A130))</f>
        <v/>
      </c>
    </row>
    <row r="131">
      <c r="A131" s="16" t="n"/>
      <c r="B131" s="17" t="n"/>
      <c r="C131" s="17" t="n"/>
      <c r="D131" s="18" t="n"/>
      <c r="E131" s="18" t="n"/>
      <c r="F131" s="17" t="n"/>
      <c r="G131" s="19" t="n"/>
      <c r="H131" s="20">
        <f>IF($A131="","",MONTH($A131)&amp;"/"&amp;YEAR($A131))</f>
        <v/>
      </c>
      <c r="I131" s="21">
        <f>IF($A131="",0,YEAR($A131)*12+MONTH($A131))</f>
        <v/>
      </c>
    </row>
    <row r="132">
      <c r="A132" s="16" t="n"/>
      <c r="B132" s="17" t="n"/>
      <c r="C132" s="17" t="n"/>
      <c r="D132" s="18" t="n"/>
      <c r="E132" s="18" t="n"/>
      <c r="F132" s="17" t="n"/>
      <c r="G132" s="19" t="n"/>
      <c r="H132" s="20">
        <f>IF($A132="","",MONTH($A132)&amp;"/"&amp;YEAR($A132))</f>
        <v/>
      </c>
      <c r="I132" s="21">
        <f>IF($A132="",0,YEAR($A132)*12+MONTH($A132))</f>
        <v/>
      </c>
    </row>
    <row r="133">
      <c r="A133" s="16" t="n"/>
      <c r="B133" s="17" t="n"/>
      <c r="C133" s="17" t="n"/>
      <c r="D133" s="18" t="n"/>
      <c r="E133" s="18" t="n"/>
      <c r="F133" s="17" t="n"/>
      <c r="G133" s="19" t="n"/>
      <c r="H133" s="20">
        <f>IF($A133="","",MONTH($A133)&amp;"/"&amp;YEAR($A133))</f>
        <v/>
      </c>
      <c r="I133" s="21">
        <f>IF($A133="",0,YEAR($A133)*12+MONTH($A133))</f>
        <v/>
      </c>
    </row>
    <row r="134">
      <c r="A134" s="16" t="n"/>
      <c r="B134" s="17" t="n"/>
      <c r="C134" s="17" t="n"/>
      <c r="D134" s="18" t="n"/>
      <c r="E134" s="18" t="n"/>
      <c r="F134" s="17" t="n"/>
      <c r="G134" s="19" t="n"/>
      <c r="H134" s="20">
        <f>IF($A134="","",MONTH($A134)&amp;"/"&amp;YEAR($A134))</f>
        <v/>
      </c>
      <c r="I134" s="21">
        <f>IF($A134="",0,YEAR($A134)*12+MONTH($A134))</f>
        <v/>
      </c>
    </row>
    <row r="135">
      <c r="A135" s="16" t="n"/>
      <c r="B135" s="17" t="n"/>
      <c r="C135" s="17" t="n"/>
      <c r="D135" s="18" t="n"/>
      <c r="E135" s="18" t="n"/>
      <c r="F135" s="17" t="n"/>
      <c r="G135" s="19" t="n"/>
      <c r="H135" s="20">
        <f>IF($A135="","",MONTH($A135)&amp;"/"&amp;YEAR($A135))</f>
        <v/>
      </c>
      <c r="I135" s="21">
        <f>IF($A135="",0,YEAR($A135)*12+MONTH($A135))</f>
        <v/>
      </c>
    </row>
    <row r="136">
      <c r="A136" s="16" t="n"/>
      <c r="B136" s="17" t="n"/>
      <c r="C136" s="17" t="n"/>
      <c r="D136" s="18" t="n"/>
      <c r="E136" s="18" t="n"/>
      <c r="F136" s="17" t="n"/>
      <c r="G136" s="19" t="n"/>
      <c r="H136" s="20">
        <f>IF($A136="","",MONTH($A136)&amp;"/"&amp;YEAR($A136))</f>
        <v/>
      </c>
      <c r="I136" s="21">
        <f>IF($A136="",0,YEAR($A136)*12+MONTH($A136))</f>
        <v/>
      </c>
    </row>
    <row r="137">
      <c r="A137" s="16" t="n"/>
      <c r="B137" s="17" t="n"/>
      <c r="C137" s="17" t="n"/>
      <c r="D137" s="18" t="n"/>
      <c r="E137" s="18" t="n"/>
      <c r="F137" s="17" t="n"/>
      <c r="G137" s="19" t="n"/>
      <c r="H137" s="20">
        <f>IF($A137="","",MONTH($A137)&amp;"/"&amp;YEAR($A137))</f>
        <v/>
      </c>
      <c r="I137" s="21">
        <f>IF($A137="",0,YEAR($A137)*12+MONTH($A137))</f>
        <v/>
      </c>
    </row>
    <row r="138">
      <c r="A138" s="16" t="n"/>
      <c r="B138" s="17" t="n"/>
      <c r="C138" s="17" t="n"/>
      <c r="D138" s="18" t="n"/>
      <c r="E138" s="18" t="n"/>
      <c r="F138" s="17" t="n"/>
      <c r="G138" s="19" t="n"/>
      <c r="H138" s="20">
        <f>IF($A138="","",MONTH($A138)&amp;"/"&amp;YEAR($A138))</f>
        <v/>
      </c>
      <c r="I138" s="21">
        <f>IF($A138="",0,YEAR($A138)*12+MONTH($A138))</f>
        <v/>
      </c>
    </row>
    <row r="139">
      <c r="A139" s="16" t="n"/>
      <c r="B139" s="17" t="n"/>
      <c r="C139" s="17" t="n"/>
      <c r="D139" s="18" t="n"/>
      <c r="E139" s="18" t="n"/>
      <c r="F139" s="17" t="n"/>
      <c r="G139" s="19" t="n"/>
      <c r="H139" s="20">
        <f>IF($A139="","",MONTH($A139)&amp;"/"&amp;YEAR($A139))</f>
        <v/>
      </c>
      <c r="I139" s="21">
        <f>IF($A139="",0,YEAR($A139)*12+MONTH($A139))</f>
        <v/>
      </c>
    </row>
    <row r="140">
      <c r="A140" s="16" t="n"/>
      <c r="B140" s="17" t="n"/>
      <c r="C140" s="17" t="n"/>
      <c r="D140" s="18" t="n"/>
      <c r="E140" s="18" t="n"/>
      <c r="F140" s="17" t="n"/>
      <c r="G140" s="19" t="n"/>
      <c r="H140" s="20">
        <f>IF($A140="","",MONTH($A140)&amp;"/"&amp;YEAR($A140))</f>
        <v/>
      </c>
      <c r="I140" s="21">
        <f>IF($A140="",0,YEAR($A140)*12+MONTH($A140))</f>
        <v/>
      </c>
    </row>
    <row r="141">
      <c r="A141" s="16" t="n"/>
      <c r="B141" s="17" t="n"/>
      <c r="C141" s="17" t="n"/>
      <c r="D141" s="18" t="n"/>
      <c r="E141" s="18" t="n"/>
      <c r="F141" s="17" t="n"/>
      <c r="G141" s="19" t="n"/>
      <c r="H141" s="20">
        <f>IF($A141="","",MONTH($A141)&amp;"/"&amp;YEAR($A141))</f>
        <v/>
      </c>
      <c r="I141" s="21">
        <f>IF($A141="",0,YEAR($A141)*12+MONTH($A141))</f>
        <v/>
      </c>
    </row>
    <row r="142">
      <c r="A142" s="16" t="n"/>
      <c r="B142" s="17" t="n"/>
      <c r="C142" s="17" t="n"/>
      <c r="D142" s="18" t="n"/>
      <c r="E142" s="18" t="n"/>
      <c r="F142" s="17" t="n"/>
      <c r="G142" s="19" t="n"/>
      <c r="H142" s="20">
        <f>IF($A142="","",MONTH($A142)&amp;"/"&amp;YEAR($A142))</f>
        <v/>
      </c>
      <c r="I142" s="21">
        <f>IF($A142="",0,YEAR($A142)*12+MONTH($A142))</f>
        <v/>
      </c>
    </row>
    <row r="143">
      <c r="A143" s="16" t="n"/>
      <c r="B143" s="17" t="n"/>
      <c r="C143" s="17" t="n"/>
      <c r="D143" s="18" t="n"/>
      <c r="E143" s="18" t="n"/>
      <c r="F143" s="17" t="n"/>
      <c r="G143" s="19" t="n"/>
      <c r="H143" s="20">
        <f>IF($A143="","",MONTH($A143)&amp;"/"&amp;YEAR($A143))</f>
        <v/>
      </c>
      <c r="I143" s="21">
        <f>IF($A143="",0,YEAR($A143)*12+MONTH($A143))</f>
        <v/>
      </c>
    </row>
    <row r="144">
      <c r="A144" s="16" t="n"/>
      <c r="B144" s="17" t="n"/>
      <c r="C144" s="17" t="n"/>
      <c r="D144" s="18" t="n"/>
      <c r="E144" s="18" t="n"/>
      <c r="F144" s="17" t="n"/>
      <c r="G144" s="19" t="n"/>
      <c r="H144" s="20">
        <f>IF($A144="","",MONTH($A144)&amp;"/"&amp;YEAR($A144))</f>
        <v/>
      </c>
      <c r="I144" s="21">
        <f>IF($A144="",0,YEAR($A144)*12+MONTH($A144))</f>
        <v/>
      </c>
    </row>
    <row r="145">
      <c r="A145" s="16" t="n"/>
      <c r="B145" s="17" t="n"/>
      <c r="C145" s="17" t="n"/>
      <c r="D145" s="18" t="n"/>
      <c r="E145" s="18" t="n"/>
      <c r="F145" s="17" t="n"/>
      <c r="G145" s="19" t="n"/>
      <c r="H145" s="20">
        <f>IF($A145="","",MONTH($A145)&amp;"/"&amp;YEAR($A145))</f>
        <v/>
      </c>
      <c r="I145" s="21">
        <f>IF($A145="",0,YEAR($A145)*12+MONTH($A145))</f>
        <v/>
      </c>
    </row>
    <row r="146">
      <c r="A146" s="16" t="n"/>
      <c r="B146" s="17" t="n"/>
      <c r="C146" s="17" t="n"/>
      <c r="D146" s="18" t="n"/>
      <c r="E146" s="18" t="n"/>
      <c r="F146" s="17" t="n"/>
      <c r="G146" s="19" t="n"/>
      <c r="H146" s="20">
        <f>IF($A146="","",MONTH($A146)&amp;"/"&amp;YEAR($A146))</f>
        <v/>
      </c>
      <c r="I146" s="21">
        <f>IF($A146="",0,YEAR($A146)*12+MONTH($A146))</f>
        <v/>
      </c>
    </row>
    <row r="147">
      <c r="A147" s="16" t="n"/>
      <c r="B147" s="17" t="n"/>
      <c r="C147" s="17" t="n"/>
      <c r="D147" s="18" t="n"/>
      <c r="E147" s="18" t="n"/>
      <c r="F147" s="17" t="n"/>
      <c r="G147" s="19" t="n"/>
      <c r="H147" s="20">
        <f>IF($A147="","",MONTH($A147)&amp;"/"&amp;YEAR($A147))</f>
        <v/>
      </c>
      <c r="I147" s="21">
        <f>IF($A147="",0,YEAR($A147)*12+MONTH($A147))</f>
        <v/>
      </c>
    </row>
    <row r="148">
      <c r="A148" s="16" t="n"/>
      <c r="B148" s="17" t="n"/>
      <c r="C148" s="17" t="n"/>
      <c r="D148" s="18" t="n"/>
      <c r="E148" s="18" t="n"/>
      <c r="F148" s="17" t="n"/>
      <c r="G148" s="19" t="n"/>
      <c r="H148" s="20">
        <f>IF($A148="","",MONTH($A148)&amp;"/"&amp;YEAR($A148))</f>
        <v/>
      </c>
      <c r="I148" s="21">
        <f>IF($A148="",0,YEAR($A148)*12+MONTH($A148))</f>
        <v/>
      </c>
    </row>
    <row r="149">
      <c r="A149" s="16" t="n"/>
      <c r="B149" s="17" t="n"/>
      <c r="C149" s="17" t="n"/>
      <c r="D149" s="18" t="n"/>
      <c r="E149" s="18" t="n"/>
      <c r="F149" s="17" t="n"/>
      <c r="G149" s="19" t="n"/>
      <c r="H149" s="20">
        <f>IF($A149="","",MONTH($A149)&amp;"/"&amp;YEAR($A149))</f>
        <v/>
      </c>
      <c r="I149" s="21">
        <f>IF($A149="",0,YEAR($A149)*12+MONTH($A149))</f>
        <v/>
      </c>
    </row>
    <row r="150">
      <c r="A150" s="16" t="n"/>
      <c r="B150" s="17" t="n"/>
      <c r="C150" s="17" t="n"/>
      <c r="D150" s="18" t="n"/>
      <c r="E150" s="18" t="n"/>
      <c r="F150" s="17" t="n"/>
      <c r="G150" s="19" t="n"/>
      <c r="H150" s="20">
        <f>IF($A150="","",MONTH($A150)&amp;"/"&amp;YEAR($A150))</f>
        <v/>
      </c>
      <c r="I150" s="21">
        <f>IF($A150="",0,YEAR($A150)*12+MONTH($A150))</f>
        <v/>
      </c>
    </row>
    <row r="151">
      <c r="A151" s="16" t="n"/>
      <c r="B151" s="17" t="n"/>
      <c r="C151" s="17" t="n"/>
      <c r="D151" s="18" t="n"/>
      <c r="E151" s="18" t="n"/>
      <c r="F151" s="17" t="n"/>
      <c r="G151" s="19" t="n"/>
      <c r="H151" s="20">
        <f>IF($A151="","",MONTH($A151)&amp;"/"&amp;YEAR($A151))</f>
        <v/>
      </c>
      <c r="I151" s="21">
        <f>IF($A151="",0,YEAR($A151)*12+MONTH($A151))</f>
        <v/>
      </c>
    </row>
    <row r="152">
      <c r="A152" s="16" t="n"/>
      <c r="B152" s="17" t="n"/>
      <c r="C152" s="17" t="n"/>
      <c r="D152" s="18" t="n"/>
      <c r="E152" s="18" t="n"/>
      <c r="F152" s="17" t="n"/>
      <c r="G152" s="19" t="n"/>
      <c r="H152" s="20">
        <f>IF($A152="","",MONTH($A152)&amp;"/"&amp;YEAR($A152))</f>
        <v/>
      </c>
      <c r="I152" s="21">
        <f>IF($A152="",0,YEAR($A152)*12+MONTH($A152))</f>
        <v/>
      </c>
    </row>
    <row r="153">
      <c r="A153" s="16" t="n"/>
      <c r="B153" s="17" t="n"/>
      <c r="C153" s="17" t="n"/>
      <c r="D153" s="18" t="n"/>
      <c r="E153" s="18" t="n"/>
      <c r="F153" s="17" t="n"/>
      <c r="G153" s="19" t="n"/>
      <c r="H153" s="20">
        <f>IF($A153="","",MONTH($A153)&amp;"/"&amp;YEAR($A153))</f>
        <v/>
      </c>
      <c r="I153" s="21">
        <f>IF($A153="",0,YEAR($A153)*12+MONTH($A153))</f>
        <v/>
      </c>
    </row>
    <row r="154">
      <c r="A154" s="16" t="n"/>
      <c r="B154" s="17" t="n"/>
      <c r="C154" s="17" t="n"/>
      <c r="D154" s="18" t="n"/>
      <c r="E154" s="18" t="n"/>
      <c r="F154" s="17" t="n"/>
      <c r="G154" s="19" t="n"/>
      <c r="H154" s="20">
        <f>IF($A154="","",MONTH($A154)&amp;"/"&amp;YEAR($A154))</f>
        <v/>
      </c>
      <c r="I154" s="21">
        <f>IF($A154="",0,YEAR($A154)*12+MONTH($A154))</f>
        <v/>
      </c>
    </row>
    <row r="155">
      <c r="A155" s="16" t="n"/>
      <c r="B155" s="17" t="n"/>
      <c r="C155" s="17" t="n"/>
      <c r="D155" s="18" t="n"/>
      <c r="E155" s="18" t="n"/>
      <c r="F155" s="17" t="n"/>
      <c r="G155" s="19" t="n"/>
      <c r="H155" s="20">
        <f>IF($A155="","",MONTH($A155)&amp;"/"&amp;YEAR($A155))</f>
        <v/>
      </c>
      <c r="I155" s="21">
        <f>IF($A155="",0,YEAR($A155)*12+MONTH($A155))</f>
        <v/>
      </c>
    </row>
    <row r="156">
      <c r="A156" s="16" t="n"/>
      <c r="B156" s="17" t="n"/>
      <c r="C156" s="17" t="n"/>
      <c r="D156" s="18" t="n"/>
      <c r="E156" s="18" t="n"/>
      <c r="F156" s="17" t="n"/>
      <c r="G156" s="19" t="n"/>
      <c r="H156" s="20">
        <f>IF($A156="","",MONTH($A156)&amp;"/"&amp;YEAR($A156))</f>
        <v/>
      </c>
      <c r="I156" s="21">
        <f>IF($A156="",0,YEAR($A156)*12+MONTH($A156))</f>
        <v/>
      </c>
    </row>
    <row r="157">
      <c r="A157" s="16" t="n"/>
      <c r="B157" s="17" t="n"/>
      <c r="C157" s="17" t="n"/>
      <c r="D157" s="18" t="n"/>
      <c r="E157" s="18" t="n"/>
      <c r="F157" s="17" t="n"/>
      <c r="G157" s="19" t="n"/>
      <c r="H157" s="20">
        <f>IF($A157="","",MONTH($A157)&amp;"/"&amp;YEAR($A157))</f>
        <v/>
      </c>
      <c r="I157" s="21">
        <f>IF($A157="",0,YEAR($A157)*12+MONTH($A157))</f>
        <v/>
      </c>
    </row>
    <row r="158">
      <c r="A158" s="16" t="n"/>
      <c r="B158" s="17" t="n"/>
      <c r="C158" s="17" t="n"/>
      <c r="D158" s="18" t="n"/>
      <c r="E158" s="18" t="n"/>
      <c r="F158" s="17" t="n"/>
      <c r="G158" s="19" t="n"/>
      <c r="H158" s="20">
        <f>IF($A158="","",MONTH($A158)&amp;"/"&amp;YEAR($A158))</f>
        <v/>
      </c>
      <c r="I158" s="21">
        <f>IF($A158="",0,YEAR($A158)*12+MONTH($A158))</f>
        <v/>
      </c>
    </row>
    <row r="159">
      <c r="A159" s="16" t="n"/>
      <c r="B159" s="17" t="n"/>
      <c r="C159" s="17" t="n"/>
      <c r="D159" s="18" t="n"/>
      <c r="E159" s="18" t="n"/>
      <c r="F159" s="17" t="n"/>
      <c r="G159" s="19" t="n"/>
      <c r="H159" s="20">
        <f>IF($A159="","",MONTH($A159)&amp;"/"&amp;YEAR($A159))</f>
        <v/>
      </c>
      <c r="I159" s="21">
        <f>IF($A159="",0,YEAR($A159)*12+MONTH($A159))</f>
        <v/>
      </c>
    </row>
    <row r="160">
      <c r="A160" s="16" t="n"/>
      <c r="B160" s="17" t="n"/>
      <c r="C160" s="17" t="n"/>
      <c r="D160" s="18" t="n"/>
      <c r="E160" s="18" t="n"/>
      <c r="F160" s="17" t="n"/>
      <c r="G160" s="19" t="n"/>
      <c r="H160" s="20">
        <f>IF($A160="","",MONTH($A160)&amp;"/"&amp;YEAR($A160))</f>
        <v/>
      </c>
      <c r="I160" s="21">
        <f>IF($A160="",0,YEAR($A160)*12+MONTH($A160))</f>
        <v/>
      </c>
    </row>
    <row r="161">
      <c r="A161" s="16" t="n"/>
      <c r="B161" s="17" t="n"/>
      <c r="C161" s="17" t="n"/>
      <c r="D161" s="18" t="n"/>
      <c r="E161" s="18" t="n"/>
      <c r="F161" s="17" t="n"/>
      <c r="G161" s="19" t="n"/>
      <c r="H161" s="20">
        <f>IF($A161="","",MONTH($A161)&amp;"/"&amp;YEAR($A161))</f>
        <v/>
      </c>
      <c r="I161" s="21">
        <f>IF($A161="",0,YEAR($A161)*12+MONTH($A161))</f>
        <v/>
      </c>
    </row>
    <row r="162">
      <c r="A162" s="16" t="n"/>
      <c r="B162" s="17" t="n"/>
      <c r="C162" s="17" t="n"/>
      <c r="D162" s="18" t="n"/>
      <c r="E162" s="18" t="n"/>
      <c r="F162" s="17" t="n"/>
      <c r="G162" s="19" t="n"/>
      <c r="H162" s="20">
        <f>IF($A162="","",MONTH($A162)&amp;"/"&amp;YEAR($A162))</f>
        <v/>
      </c>
      <c r="I162" s="21">
        <f>IF($A162="",0,YEAR($A162)*12+MONTH($A162))</f>
        <v/>
      </c>
    </row>
    <row r="163">
      <c r="A163" s="16" t="n"/>
      <c r="B163" s="17" t="n"/>
      <c r="C163" s="17" t="n"/>
      <c r="D163" s="18" t="n"/>
      <c r="E163" s="18" t="n"/>
      <c r="F163" s="17" t="n"/>
      <c r="G163" s="19" t="n"/>
      <c r="H163" s="20">
        <f>IF($A163="","",MONTH($A163)&amp;"/"&amp;YEAR($A163))</f>
        <v/>
      </c>
      <c r="I163" s="21">
        <f>IF($A163="",0,YEAR($A163)*12+MONTH($A163))</f>
        <v/>
      </c>
    </row>
    <row r="164">
      <c r="A164" s="16" t="n"/>
      <c r="B164" s="17" t="n"/>
      <c r="C164" s="17" t="n"/>
      <c r="D164" s="18" t="n"/>
      <c r="E164" s="18" t="n"/>
      <c r="F164" s="17" t="n"/>
      <c r="G164" s="19" t="n"/>
      <c r="H164" s="20">
        <f>IF($A164="","",MONTH($A164)&amp;"/"&amp;YEAR($A164))</f>
        <v/>
      </c>
      <c r="I164" s="21">
        <f>IF($A164="",0,YEAR($A164)*12+MONTH($A164))</f>
        <v/>
      </c>
    </row>
    <row r="165">
      <c r="A165" s="16" t="n"/>
      <c r="B165" s="17" t="n"/>
      <c r="C165" s="17" t="n"/>
      <c r="D165" s="18" t="n"/>
      <c r="E165" s="18" t="n"/>
      <c r="F165" s="17" t="n"/>
      <c r="G165" s="19" t="n"/>
      <c r="H165" s="20">
        <f>IF($A165="","",MONTH($A165)&amp;"/"&amp;YEAR($A165))</f>
        <v/>
      </c>
      <c r="I165" s="21">
        <f>IF($A165="",0,YEAR($A165)*12+MONTH($A165))</f>
        <v/>
      </c>
    </row>
    <row r="166">
      <c r="A166" s="16" t="n"/>
      <c r="B166" s="17" t="n"/>
      <c r="C166" s="17" t="n"/>
      <c r="D166" s="18" t="n"/>
      <c r="E166" s="18" t="n"/>
      <c r="F166" s="17" t="n"/>
      <c r="G166" s="19" t="n"/>
      <c r="H166" s="20">
        <f>IF($A166="","",MONTH($A166)&amp;"/"&amp;YEAR($A166))</f>
        <v/>
      </c>
      <c r="I166" s="21">
        <f>IF($A166="",0,YEAR($A166)*12+MONTH($A166))</f>
        <v/>
      </c>
    </row>
    <row r="167">
      <c r="A167" s="16" t="n"/>
      <c r="B167" s="17" t="n"/>
      <c r="C167" s="17" t="n"/>
      <c r="D167" s="18" t="n"/>
      <c r="E167" s="18" t="n"/>
      <c r="F167" s="17" t="n"/>
      <c r="G167" s="19" t="n"/>
      <c r="H167" s="20">
        <f>IF($A167="","",MONTH($A167)&amp;"/"&amp;YEAR($A167))</f>
        <v/>
      </c>
      <c r="I167" s="21">
        <f>IF($A167="",0,YEAR($A167)*12+MONTH($A167))</f>
        <v/>
      </c>
    </row>
    <row r="168">
      <c r="A168" s="16" t="n"/>
      <c r="B168" s="17" t="n"/>
      <c r="C168" s="17" t="n"/>
      <c r="D168" s="18" t="n"/>
      <c r="E168" s="18" t="n"/>
      <c r="F168" s="17" t="n"/>
      <c r="G168" s="19" t="n"/>
      <c r="H168" s="20">
        <f>IF($A168="","",MONTH($A168)&amp;"/"&amp;YEAR($A168))</f>
        <v/>
      </c>
      <c r="I168" s="21">
        <f>IF($A168="",0,YEAR($A168)*12+MONTH($A168))</f>
        <v/>
      </c>
    </row>
    <row r="169">
      <c r="A169" s="16" t="n"/>
      <c r="B169" s="17" t="n"/>
      <c r="C169" s="17" t="n"/>
      <c r="D169" s="18" t="n"/>
      <c r="E169" s="18" t="n"/>
      <c r="F169" s="17" t="n"/>
      <c r="G169" s="19" t="n"/>
      <c r="H169" s="20">
        <f>IF($A169="","",MONTH($A169)&amp;"/"&amp;YEAR($A169))</f>
        <v/>
      </c>
      <c r="I169" s="21">
        <f>IF($A169="",0,YEAR($A169)*12+MONTH($A169))</f>
        <v/>
      </c>
    </row>
    <row r="170">
      <c r="A170" s="16" t="n"/>
      <c r="B170" s="17" t="n"/>
      <c r="C170" s="17" t="n"/>
      <c r="D170" s="18" t="n"/>
      <c r="E170" s="18" t="n"/>
      <c r="F170" s="17" t="n"/>
      <c r="G170" s="19" t="n"/>
      <c r="H170" s="20">
        <f>IF($A170="","",MONTH($A170)&amp;"/"&amp;YEAR($A170))</f>
        <v/>
      </c>
      <c r="I170" s="21">
        <f>IF($A170="",0,YEAR($A170)*12+MONTH($A170))</f>
        <v/>
      </c>
    </row>
    <row r="171">
      <c r="A171" s="16" t="n"/>
      <c r="B171" s="17" t="n"/>
      <c r="C171" s="17" t="n"/>
      <c r="D171" s="18" t="n"/>
      <c r="E171" s="18" t="n"/>
      <c r="F171" s="17" t="n"/>
      <c r="G171" s="19" t="n"/>
      <c r="H171" s="20">
        <f>IF($A171="","",MONTH($A171)&amp;"/"&amp;YEAR($A171))</f>
        <v/>
      </c>
      <c r="I171" s="21">
        <f>IF($A171="",0,YEAR($A171)*12+MONTH($A171))</f>
        <v/>
      </c>
    </row>
    <row r="172">
      <c r="A172" s="16" t="n"/>
      <c r="B172" s="17" t="n"/>
      <c r="C172" s="17" t="n"/>
      <c r="D172" s="18" t="n"/>
      <c r="E172" s="18" t="n"/>
      <c r="F172" s="17" t="n"/>
      <c r="G172" s="19" t="n"/>
      <c r="H172" s="20">
        <f>IF($A172="","",MONTH($A172)&amp;"/"&amp;YEAR($A172))</f>
        <v/>
      </c>
      <c r="I172" s="21">
        <f>IF($A172="",0,YEAR($A172)*12+MONTH($A172))</f>
        <v/>
      </c>
    </row>
    <row r="173">
      <c r="A173" s="16" t="n"/>
      <c r="B173" s="17" t="n"/>
      <c r="C173" s="17" t="n"/>
      <c r="D173" s="18" t="n"/>
      <c r="E173" s="18" t="n"/>
      <c r="F173" s="17" t="n"/>
      <c r="G173" s="19" t="n"/>
      <c r="H173" s="20">
        <f>IF($A173="","",MONTH($A173)&amp;"/"&amp;YEAR($A173))</f>
        <v/>
      </c>
      <c r="I173" s="21">
        <f>IF($A173="",0,YEAR($A173)*12+MONTH($A173))</f>
        <v/>
      </c>
    </row>
    <row r="174">
      <c r="A174" s="16" t="n"/>
      <c r="B174" s="17" t="n"/>
      <c r="C174" s="17" t="n"/>
      <c r="D174" s="18" t="n"/>
      <c r="E174" s="18" t="n"/>
      <c r="F174" s="17" t="n"/>
      <c r="G174" s="19" t="n"/>
      <c r="H174" s="20">
        <f>IF($A174="","",MONTH($A174)&amp;"/"&amp;YEAR($A174))</f>
        <v/>
      </c>
      <c r="I174" s="21">
        <f>IF($A174="",0,YEAR($A174)*12+MONTH($A174))</f>
        <v/>
      </c>
    </row>
    <row r="175">
      <c r="A175" s="16" t="n"/>
      <c r="B175" s="17" t="n"/>
      <c r="C175" s="17" t="n"/>
      <c r="D175" s="18" t="n"/>
      <c r="E175" s="18" t="n"/>
      <c r="F175" s="17" t="n"/>
      <c r="G175" s="19" t="n"/>
      <c r="H175" s="20">
        <f>IF($A175="","",MONTH($A175)&amp;"/"&amp;YEAR($A175))</f>
        <v/>
      </c>
      <c r="I175" s="21">
        <f>IF($A175="",0,YEAR($A175)*12+MONTH($A175))</f>
        <v/>
      </c>
    </row>
    <row r="176">
      <c r="A176" s="16" t="n"/>
      <c r="B176" s="17" t="n"/>
      <c r="C176" s="17" t="n"/>
      <c r="D176" s="18" t="n"/>
      <c r="E176" s="18" t="n"/>
      <c r="F176" s="17" t="n"/>
      <c r="G176" s="19" t="n"/>
      <c r="H176" s="20">
        <f>IF($A176="","",MONTH($A176)&amp;"/"&amp;YEAR($A176))</f>
        <v/>
      </c>
      <c r="I176" s="21">
        <f>IF($A176="",0,YEAR($A176)*12+MONTH($A176))</f>
        <v/>
      </c>
    </row>
    <row r="177">
      <c r="A177" s="16" t="n"/>
      <c r="B177" s="17" t="n"/>
      <c r="C177" s="17" t="n"/>
      <c r="D177" s="18" t="n"/>
      <c r="E177" s="18" t="n"/>
      <c r="F177" s="17" t="n"/>
      <c r="G177" s="19" t="n"/>
      <c r="H177" s="20">
        <f>IF($A177="","",MONTH($A177)&amp;"/"&amp;YEAR($A177))</f>
        <v/>
      </c>
      <c r="I177" s="21">
        <f>IF($A177="",0,YEAR($A177)*12+MONTH($A177))</f>
        <v/>
      </c>
    </row>
    <row r="178">
      <c r="A178" s="16" t="n"/>
      <c r="B178" s="17" t="n"/>
      <c r="C178" s="17" t="n"/>
      <c r="D178" s="18" t="n"/>
      <c r="E178" s="18" t="n"/>
      <c r="F178" s="17" t="n"/>
      <c r="G178" s="19" t="n"/>
      <c r="H178" s="20">
        <f>IF($A178="","",MONTH($A178)&amp;"/"&amp;YEAR($A178))</f>
        <v/>
      </c>
      <c r="I178" s="21">
        <f>IF($A178="",0,YEAR($A178)*12+MONTH($A178))</f>
        <v/>
      </c>
    </row>
    <row r="179">
      <c r="A179" s="16" t="n"/>
      <c r="B179" s="17" t="n"/>
      <c r="C179" s="17" t="n"/>
      <c r="D179" s="18" t="n"/>
      <c r="E179" s="18" t="n"/>
      <c r="F179" s="17" t="n"/>
      <c r="G179" s="19" t="n"/>
      <c r="H179" s="20">
        <f>IF($A179="","",MONTH($A179)&amp;"/"&amp;YEAR($A179))</f>
        <v/>
      </c>
      <c r="I179" s="21">
        <f>IF($A179="",0,YEAR($A179)*12+MONTH($A179))</f>
        <v/>
      </c>
    </row>
    <row r="180">
      <c r="A180" s="16" t="n"/>
      <c r="B180" s="17" t="n"/>
      <c r="C180" s="17" t="n"/>
      <c r="D180" s="18" t="n"/>
      <c r="E180" s="18" t="n"/>
      <c r="F180" s="17" t="n"/>
      <c r="G180" s="19" t="n"/>
      <c r="H180" s="20">
        <f>IF($A180="","",MONTH($A180)&amp;"/"&amp;YEAR($A180))</f>
        <v/>
      </c>
      <c r="I180" s="21">
        <f>IF($A180="",0,YEAR($A180)*12+MONTH($A180))</f>
        <v/>
      </c>
    </row>
    <row r="181">
      <c r="A181" s="16" t="n"/>
      <c r="B181" s="17" t="n"/>
      <c r="C181" s="17" t="n"/>
      <c r="D181" s="18" t="n"/>
      <c r="E181" s="18" t="n"/>
      <c r="F181" s="17" t="n"/>
      <c r="G181" s="19" t="n"/>
      <c r="H181" s="20">
        <f>IF($A181="","",MONTH($A181)&amp;"/"&amp;YEAR($A181))</f>
        <v/>
      </c>
      <c r="I181" s="21">
        <f>IF($A181="",0,YEAR($A181)*12+MONTH($A181))</f>
        <v/>
      </c>
    </row>
    <row r="182">
      <c r="A182" s="16" t="n"/>
      <c r="B182" s="17" t="n"/>
      <c r="C182" s="17" t="n"/>
      <c r="D182" s="18" t="n"/>
      <c r="E182" s="18" t="n"/>
      <c r="F182" s="17" t="n"/>
      <c r="G182" s="19" t="n"/>
      <c r="H182" s="20">
        <f>IF($A182="","",MONTH($A182)&amp;"/"&amp;YEAR($A182))</f>
        <v/>
      </c>
      <c r="I182" s="21">
        <f>IF($A182="",0,YEAR($A182)*12+MONTH($A182))</f>
        <v/>
      </c>
    </row>
    <row r="183">
      <c r="A183" s="16" t="n"/>
      <c r="B183" s="17" t="n"/>
      <c r="C183" s="17" t="n"/>
      <c r="D183" s="18" t="n"/>
      <c r="E183" s="18" t="n"/>
      <c r="F183" s="17" t="n"/>
      <c r="G183" s="19" t="n"/>
      <c r="H183" s="20">
        <f>IF($A183="","",MONTH($A183)&amp;"/"&amp;YEAR($A183))</f>
        <v/>
      </c>
      <c r="I183" s="21">
        <f>IF($A183="",0,YEAR($A183)*12+MONTH($A183))</f>
        <v/>
      </c>
    </row>
    <row r="184">
      <c r="A184" s="16" t="n"/>
      <c r="B184" s="17" t="n"/>
      <c r="C184" s="17" t="n"/>
      <c r="D184" s="18" t="n"/>
      <c r="E184" s="18" t="n"/>
      <c r="F184" s="17" t="n"/>
      <c r="G184" s="19" t="n"/>
      <c r="H184" s="20">
        <f>IF($A184="","",MONTH($A184)&amp;"/"&amp;YEAR($A184))</f>
        <v/>
      </c>
      <c r="I184" s="21">
        <f>IF($A184="",0,YEAR($A184)*12+MONTH($A184))</f>
        <v/>
      </c>
    </row>
    <row r="185">
      <c r="A185" s="16" t="n"/>
      <c r="B185" s="17" t="n"/>
      <c r="C185" s="17" t="n"/>
      <c r="D185" s="18" t="n"/>
      <c r="E185" s="18" t="n"/>
      <c r="F185" s="17" t="n"/>
      <c r="G185" s="19" t="n"/>
      <c r="H185" s="20">
        <f>IF($A185="","",MONTH($A185)&amp;"/"&amp;YEAR($A185))</f>
        <v/>
      </c>
      <c r="I185" s="21">
        <f>IF($A185="",0,YEAR($A185)*12+MONTH($A185))</f>
        <v/>
      </c>
    </row>
    <row r="186">
      <c r="A186" s="16" t="n"/>
      <c r="B186" s="17" t="n"/>
      <c r="C186" s="17" t="n"/>
      <c r="D186" s="18" t="n"/>
      <c r="E186" s="18" t="n"/>
      <c r="F186" s="17" t="n"/>
      <c r="G186" s="19" t="n"/>
      <c r="H186" s="20">
        <f>IF($A186="","",MONTH($A186)&amp;"/"&amp;YEAR($A186))</f>
        <v/>
      </c>
      <c r="I186" s="21">
        <f>IF($A186="",0,YEAR($A186)*12+MONTH($A186))</f>
        <v/>
      </c>
    </row>
    <row r="187">
      <c r="A187" s="16" t="n"/>
      <c r="B187" s="17" t="n"/>
      <c r="C187" s="17" t="n"/>
      <c r="D187" s="18" t="n"/>
      <c r="E187" s="18" t="n"/>
      <c r="F187" s="17" t="n"/>
      <c r="G187" s="19" t="n"/>
      <c r="H187" s="20">
        <f>IF($A187="","",MONTH($A187)&amp;"/"&amp;YEAR($A187))</f>
        <v/>
      </c>
      <c r="I187" s="21">
        <f>IF($A187="",0,YEAR($A187)*12+MONTH($A187))</f>
        <v/>
      </c>
    </row>
    <row r="188">
      <c r="A188" s="16" t="n"/>
      <c r="B188" s="17" t="n"/>
      <c r="C188" s="17" t="n"/>
      <c r="D188" s="18" t="n"/>
      <c r="E188" s="18" t="n"/>
      <c r="F188" s="17" t="n"/>
      <c r="G188" s="19" t="n"/>
      <c r="H188" s="20">
        <f>IF($A188="","",MONTH($A188)&amp;"/"&amp;YEAR($A188))</f>
        <v/>
      </c>
      <c r="I188" s="21">
        <f>IF($A188="",0,YEAR($A188)*12+MONTH($A188))</f>
        <v/>
      </c>
    </row>
    <row r="189">
      <c r="A189" s="16" t="n"/>
      <c r="B189" s="17" t="n"/>
      <c r="C189" s="17" t="n"/>
      <c r="D189" s="18" t="n"/>
      <c r="E189" s="18" t="n"/>
      <c r="F189" s="17" t="n"/>
      <c r="G189" s="19" t="n"/>
      <c r="H189" s="20">
        <f>IF($A189="","",MONTH($A189)&amp;"/"&amp;YEAR($A189))</f>
        <v/>
      </c>
      <c r="I189" s="21">
        <f>IF($A189="",0,YEAR($A189)*12+MONTH($A189))</f>
        <v/>
      </c>
    </row>
    <row r="190">
      <c r="A190" s="16" t="n"/>
      <c r="B190" s="17" t="n"/>
      <c r="C190" s="17" t="n"/>
      <c r="D190" s="18" t="n"/>
      <c r="E190" s="18" t="n"/>
      <c r="F190" s="17" t="n"/>
      <c r="G190" s="19" t="n"/>
      <c r="H190" s="20">
        <f>IF($A190="","",MONTH($A190)&amp;"/"&amp;YEAR($A190))</f>
        <v/>
      </c>
      <c r="I190" s="21">
        <f>IF($A190="",0,YEAR($A190)*12+MONTH($A190))</f>
        <v/>
      </c>
    </row>
    <row r="191">
      <c r="A191" s="16" t="n"/>
      <c r="B191" s="17" t="n"/>
      <c r="C191" s="17" t="n"/>
      <c r="D191" s="18" t="n"/>
      <c r="E191" s="18" t="n"/>
      <c r="F191" s="17" t="n"/>
      <c r="G191" s="19" t="n"/>
      <c r="H191" s="20">
        <f>IF($A191="","",MONTH($A191)&amp;"/"&amp;YEAR($A191))</f>
        <v/>
      </c>
      <c r="I191" s="21">
        <f>IF($A191="",0,YEAR($A191)*12+MONTH($A191))</f>
        <v/>
      </c>
    </row>
    <row r="192">
      <c r="A192" s="16" t="n"/>
      <c r="B192" s="17" t="n"/>
      <c r="C192" s="17" t="n"/>
      <c r="D192" s="18" t="n"/>
      <c r="E192" s="18" t="n"/>
      <c r="F192" s="17" t="n"/>
      <c r="G192" s="19" t="n"/>
      <c r="H192" s="20">
        <f>IF($A192="","",MONTH($A192)&amp;"/"&amp;YEAR($A192))</f>
        <v/>
      </c>
      <c r="I192" s="21">
        <f>IF($A192="",0,YEAR($A192)*12+MONTH($A192))</f>
        <v/>
      </c>
    </row>
    <row r="193">
      <c r="A193" s="16" t="n"/>
      <c r="B193" s="17" t="n"/>
      <c r="C193" s="17" t="n"/>
      <c r="D193" s="18" t="n"/>
      <c r="E193" s="18" t="n"/>
      <c r="F193" s="17" t="n"/>
      <c r="G193" s="19" t="n"/>
      <c r="H193" s="20">
        <f>IF($A193="","",MONTH($A193)&amp;"/"&amp;YEAR($A193))</f>
        <v/>
      </c>
      <c r="I193" s="21">
        <f>IF($A193="",0,YEAR($A193)*12+MONTH($A193))</f>
        <v/>
      </c>
    </row>
    <row r="194">
      <c r="A194" s="16" t="n"/>
      <c r="B194" s="17" t="n"/>
      <c r="C194" s="17" t="n"/>
      <c r="D194" s="18" t="n"/>
      <c r="E194" s="18" t="n"/>
      <c r="F194" s="17" t="n"/>
      <c r="G194" s="19" t="n"/>
      <c r="H194" s="20">
        <f>IF($A194="","",MONTH($A194)&amp;"/"&amp;YEAR($A194))</f>
        <v/>
      </c>
      <c r="I194" s="21">
        <f>IF($A194="",0,YEAR($A194)*12+MONTH($A194))</f>
        <v/>
      </c>
    </row>
    <row r="195">
      <c r="A195" s="16" t="n"/>
      <c r="B195" s="17" t="n"/>
      <c r="C195" s="17" t="n"/>
      <c r="D195" s="18" t="n"/>
      <c r="E195" s="18" t="n"/>
      <c r="F195" s="17" t="n"/>
      <c r="G195" s="19" t="n"/>
      <c r="H195" s="20">
        <f>IF($A195="","",MONTH($A195)&amp;"/"&amp;YEAR($A195))</f>
        <v/>
      </c>
      <c r="I195" s="21">
        <f>IF($A195="",0,YEAR($A195)*12+MONTH($A195))</f>
        <v/>
      </c>
    </row>
    <row r="196">
      <c r="A196" s="16" t="n"/>
      <c r="B196" s="17" t="n"/>
      <c r="C196" s="17" t="n"/>
      <c r="D196" s="18" t="n"/>
      <c r="E196" s="18" t="n"/>
      <c r="F196" s="17" t="n"/>
      <c r="G196" s="19" t="n"/>
      <c r="H196" s="20">
        <f>IF($A196="","",MONTH($A196)&amp;"/"&amp;YEAR($A196))</f>
        <v/>
      </c>
      <c r="I196" s="21">
        <f>IF($A196="",0,YEAR($A196)*12+MONTH($A196))</f>
        <v/>
      </c>
    </row>
    <row r="197">
      <c r="A197" s="16" t="n"/>
      <c r="B197" s="17" t="n"/>
      <c r="C197" s="17" t="n"/>
      <c r="D197" s="18" t="n"/>
      <c r="E197" s="18" t="n"/>
      <c r="F197" s="17" t="n"/>
      <c r="G197" s="19" t="n"/>
      <c r="H197" s="20">
        <f>IF($A197="","",MONTH($A197)&amp;"/"&amp;YEAR($A197))</f>
        <v/>
      </c>
      <c r="I197" s="21">
        <f>IF($A197="",0,YEAR($A197)*12+MONTH($A197))</f>
        <v/>
      </c>
    </row>
    <row r="198">
      <c r="A198" s="16" t="n"/>
      <c r="B198" s="17" t="n"/>
      <c r="C198" s="17" t="n"/>
      <c r="D198" s="18" t="n"/>
      <c r="E198" s="18" t="n"/>
      <c r="F198" s="17" t="n"/>
      <c r="G198" s="19" t="n"/>
      <c r="H198" s="20">
        <f>IF($A198="","",MONTH($A198)&amp;"/"&amp;YEAR($A198))</f>
        <v/>
      </c>
      <c r="I198" s="21">
        <f>IF($A198="",0,YEAR($A198)*12+MONTH($A198))</f>
        <v/>
      </c>
    </row>
    <row r="199">
      <c r="A199" s="16" t="n"/>
      <c r="B199" s="17" t="n"/>
      <c r="C199" s="17" t="n"/>
      <c r="D199" s="18" t="n"/>
      <c r="E199" s="18" t="n"/>
      <c r="F199" s="17" t="n"/>
      <c r="G199" s="19" t="n"/>
      <c r="H199" s="20">
        <f>IF($A199="","",MONTH($A199)&amp;"/"&amp;YEAR($A199))</f>
        <v/>
      </c>
      <c r="I199" s="21">
        <f>IF($A199="",0,YEAR($A199)*12+MONTH($A199))</f>
        <v/>
      </c>
    </row>
    <row r="200">
      <c r="A200" s="16" t="n"/>
      <c r="B200" s="17" t="n"/>
      <c r="C200" s="17" t="n"/>
      <c r="D200" s="18" t="n"/>
      <c r="E200" s="18" t="n"/>
      <c r="F200" s="17" t="n"/>
      <c r="G200" s="19" t="n"/>
      <c r="H200" s="20">
        <f>IF($A200="","",MONTH($A200)&amp;"/"&amp;YEAR($A200))</f>
        <v/>
      </c>
      <c r="I200" s="21">
        <f>IF($A200="",0,YEAR($A200)*12+MONTH($A200))</f>
        <v/>
      </c>
    </row>
    <row r="201">
      <c r="A201" s="16" t="n"/>
      <c r="B201" s="17" t="n"/>
      <c r="C201" s="17" t="n"/>
      <c r="D201" s="18" t="n"/>
      <c r="E201" s="18" t="n"/>
      <c r="F201" s="17" t="n"/>
      <c r="G201" s="19" t="n"/>
      <c r="H201" s="20">
        <f>IF($A201="","",MONTH($A201)&amp;"/"&amp;YEAR($A201))</f>
        <v/>
      </c>
      <c r="I201" s="21">
        <f>IF($A201="",0,YEAR($A201)*12+MONTH($A201))</f>
        <v/>
      </c>
    </row>
    <row r="202">
      <c r="A202" s="16" t="n"/>
      <c r="B202" s="17" t="n"/>
      <c r="C202" s="17" t="n"/>
      <c r="D202" s="18" t="n"/>
      <c r="E202" s="18" t="n"/>
      <c r="F202" s="17" t="n"/>
      <c r="G202" s="19" t="n"/>
      <c r="H202" s="20">
        <f>IF($A202="","",MONTH($A202)&amp;"/"&amp;YEAR($A202))</f>
        <v/>
      </c>
      <c r="I202" s="21">
        <f>IF($A202="",0,YEAR($A202)*12+MONTH($A202))</f>
        <v/>
      </c>
    </row>
    <row r="203">
      <c r="A203" s="16" t="n"/>
      <c r="B203" s="17" t="n"/>
      <c r="C203" s="17" t="n"/>
      <c r="D203" s="18" t="n"/>
      <c r="E203" s="18" t="n"/>
      <c r="F203" s="17" t="n"/>
      <c r="G203" s="19" t="n"/>
      <c r="H203" s="20">
        <f>IF($A203="","",MONTH($A203)&amp;"/"&amp;YEAR($A203))</f>
        <v/>
      </c>
      <c r="I203" s="21">
        <f>IF($A203="",0,YEAR($A203)*12+MONTH($A203))</f>
        <v/>
      </c>
    </row>
    <row r="204">
      <c r="A204" s="16" t="n"/>
      <c r="B204" s="17" t="n"/>
      <c r="C204" s="17" t="n"/>
      <c r="D204" s="18" t="n"/>
      <c r="E204" s="18" t="n"/>
      <c r="F204" s="17" t="n"/>
      <c r="G204" s="19" t="n"/>
      <c r="H204" s="20">
        <f>IF($A204="","",MONTH($A204)&amp;"/"&amp;YEAR($A204))</f>
        <v/>
      </c>
      <c r="I204" s="21">
        <f>IF($A204="",0,YEAR($A204)*12+MONTH($A204))</f>
        <v/>
      </c>
    </row>
    <row r="205">
      <c r="A205" s="16" t="n"/>
      <c r="B205" s="17" t="n"/>
      <c r="C205" s="17" t="n"/>
      <c r="D205" s="18" t="n"/>
      <c r="E205" s="18" t="n"/>
      <c r="F205" s="17" t="n"/>
      <c r="G205" s="19" t="n"/>
      <c r="H205" s="20">
        <f>IF($A205="","",MONTH($A205)&amp;"/"&amp;YEAR($A205))</f>
        <v/>
      </c>
      <c r="I205" s="21">
        <f>IF($A205="",0,YEAR($A205)*12+MONTH($A205))</f>
        <v/>
      </c>
    </row>
    <row r="206">
      <c r="A206" s="16" t="n"/>
      <c r="B206" s="17" t="n"/>
      <c r="C206" s="17" t="n"/>
      <c r="D206" s="18" t="n"/>
      <c r="E206" s="18" t="n"/>
      <c r="F206" s="17" t="n"/>
      <c r="G206" s="19" t="n"/>
      <c r="H206" s="20">
        <f>IF($A206="","",MONTH($A206)&amp;"/"&amp;YEAR($A206))</f>
        <v/>
      </c>
      <c r="I206" s="21">
        <f>IF($A206="",0,YEAR($A206)*12+MONTH($A206))</f>
        <v/>
      </c>
    </row>
    <row r="207">
      <c r="A207" s="16" t="n"/>
      <c r="B207" s="17" t="n"/>
      <c r="C207" s="17" t="n"/>
      <c r="D207" s="18" t="n"/>
      <c r="E207" s="18" t="n"/>
      <c r="F207" s="17" t="n"/>
      <c r="G207" s="19" t="n"/>
      <c r="H207" s="20">
        <f>IF($A207="","",MONTH($A207)&amp;"/"&amp;YEAR($A207))</f>
        <v/>
      </c>
      <c r="I207" s="21">
        <f>IF($A207="",0,YEAR($A207)*12+MONTH($A207))</f>
        <v/>
      </c>
    </row>
    <row r="208">
      <c r="A208" s="16" t="n"/>
      <c r="B208" s="17" t="n"/>
      <c r="C208" s="17" t="n"/>
      <c r="D208" s="18" t="n"/>
      <c r="E208" s="18" t="n"/>
      <c r="F208" s="17" t="n"/>
      <c r="G208" s="19" t="n"/>
      <c r="H208" s="20">
        <f>IF($A208="","",MONTH($A208)&amp;"/"&amp;YEAR($A208))</f>
        <v/>
      </c>
      <c r="I208" s="21">
        <f>IF($A208="",0,YEAR($A208)*12+MONTH($A208))</f>
        <v/>
      </c>
    </row>
    <row r="209">
      <c r="A209" s="16" t="n"/>
      <c r="B209" s="17" t="n"/>
      <c r="C209" s="17" t="n"/>
      <c r="D209" s="18" t="n"/>
      <c r="E209" s="18" t="n"/>
      <c r="F209" s="17" t="n"/>
      <c r="G209" s="19" t="n"/>
      <c r="H209" s="20">
        <f>IF($A209="","",MONTH($A209)&amp;"/"&amp;YEAR($A209))</f>
        <v/>
      </c>
      <c r="I209" s="21">
        <f>IF($A209="",0,YEAR($A209)*12+MONTH($A209))</f>
        <v/>
      </c>
    </row>
    <row r="210">
      <c r="A210" s="16" t="n"/>
      <c r="B210" s="17" t="n"/>
      <c r="C210" s="17" t="n"/>
      <c r="D210" s="18" t="n"/>
      <c r="E210" s="18" t="n"/>
      <c r="F210" s="17" t="n"/>
      <c r="G210" s="19" t="n"/>
      <c r="H210" s="20">
        <f>IF($A210="","",MONTH($A210)&amp;"/"&amp;YEAR($A210))</f>
        <v/>
      </c>
      <c r="I210" s="21">
        <f>IF($A210="",0,YEAR($A210)*12+MONTH($A210))</f>
        <v/>
      </c>
    </row>
    <row r="211">
      <c r="A211" s="16" t="n"/>
      <c r="B211" s="17" t="n"/>
      <c r="C211" s="17" t="n"/>
      <c r="D211" s="18" t="n"/>
      <c r="E211" s="18" t="n"/>
      <c r="F211" s="17" t="n"/>
      <c r="G211" s="19" t="n"/>
      <c r="H211" s="20">
        <f>IF($A211="","",MONTH($A211)&amp;"/"&amp;YEAR($A211))</f>
        <v/>
      </c>
      <c r="I211" s="21">
        <f>IF($A211="",0,YEAR($A211)*12+MONTH($A211))</f>
        <v/>
      </c>
    </row>
    <row r="212">
      <c r="A212" s="16" t="n"/>
      <c r="B212" s="17" t="n"/>
      <c r="C212" s="17" t="n"/>
      <c r="D212" s="18" t="n"/>
      <c r="E212" s="18" t="n"/>
      <c r="F212" s="17" t="n"/>
      <c r="G212" s="19" t="n"/>
      <c r="H212" s="20">
        <f>IF($A212="","",MONTH($A212)&amp;"/"&amp;YEAR($A212))</f>
        <v/>
      </c>
      <c r="I212" s="21">
        <f>IF($A212="",0,YEAR($A212)*12+MONTH($A212))</f>
        <v/>
      </c>
    </row>
    <row r="213">
      <c r="A213" s="16" t="n"/>
      <c r="B213" s="17" t="n"/>
      <c r="C213" s="17" t="n"/>
      <c r="D213" s="18" t="n"/>
      <c r="E213" s="18" t="n"/>
      <c r="F213" s="17" t="n"/>
      <c r="G213" s="19" t="n"/>
      <c r="H213" s="20">
        <f>IF($A213="","",MONTH($A213)&amp;"/"&amp;YEAR($A213))</f>
        <v/>
      </c>
      <c r="I213" s="21">
        <f>IF($A213="",0,YEAR($A213)*12+MONTH($A213))</f>
        <v/>
      </c>
    </row>
    <row r="214">
      <c r="A214" s="16" t="n"/>
      <c r="B214" s="17" t="n"/>
      <c r="C214" s="17" t="n"/>
      <c r="D214" s="18" t="n"/>
      <c r="E214" s="18" t="n"/>
      <c r="F214" s="17" t="n"/>
      <c r="G214" s="19" t="n"/>
      <c r="H214" s="20">
        <f>IF($A214="","",MONTH($A214)&amp;"/"&amp;YEAR($A214))</f>
        <v/>
      </c>
      <c r="I214" s="21">
        <f>IF($A214="",0,YEAR($A214)*12+MONTH($A214))</f>
        <v/>
      </c>
    </row>
    <row r="215">
      <c r="A215" s="16" t="n"/>
      <c r="B215" s="17" t="n"/>
      <c r="C215" s="17" t="n"/>
      <c r="D215" s="18" t="n"/>
      <c r="E215" s="18" t="n"/>
      <c r="F215" s="17" t="n"/>
      <c r="G215" s="19" t="n"/>
      <c r="H215" s="20">
        <f>IF($A215="","",MONTH($A215)&amp;"/"&amp;YEAR($A215))</f>
        <v/>
      </c>
      <c r="I215" s="21">
        <f>IF($A215="",0,YEAR($A215)*12+MONTH($A215))</f>
        <v/>
      </c>
    </row>
    <row r="216">
      <c r="A216" s="16" t="n"/>
      <c r="B216" s="17" t="n"/>
      <c r="C216" s="17" t="n"/>
      <c r="D216" s="18" t="n"/>
      <c r="E216" s="18" t="n"/>
      <c r="F216" s="17" t="n"/>
      <c r="G216" s="19" t="n"/>
      <c r="H216" s="20">
        <f>IF($A216="","",MONTH($A216)&amp;"/"&amp;YEAR($A216))</f>
        <v/>
      </c>
      <c r="I216" s="21">
        <f>IF($A216="",0,YEAR($A216)*12+MONTH($A216))</f>
        <v/>
      </c>
    </row>
    <row r="217">
      <c r="A217" s="16" t="n"/>
      <c r="B217" s="17" t="n"/>
      <c r="C217" s="17" t="n"/>
      <c r="D217" s="18" t="n"/>
      <c r="E217" s="18" t="n"/>
      <c r="F217" s="17" t="n"/>
      <c r="G217" s="19" t="n"/>
      <c r="H217" s="20">
        <f>IF($A217="","",MONTH($A217)&amp;"/"&amp;YEAR($A217))</f>
        <v/>
      </c>
      <c r="I217" s="21">
        <f>IF($A217="",0,YEAR($A217)*12+MONTH($A217))</f>
        <v/>
      </c>
    </row>
    <row r="218">
      <c r="A218" s="16" t="n"/>
      <c r="B218" s="17" t="n"/>
      <c r="C218" s="17" t="n"/>
      <c r="D218" s="18" t="n"/>
      <c r="E218" s="18" t="n"/>
      <c r="F218" s="17" t="n"/>
      <c r="G218" s="19" t="n"/>
      <c r="H218" s="20">
        <f>IF($A218="","",MONTH($A218)&amp;"/"&amp;YEAR($A218))</f>
        <v/>
      </c>
      <c r="I218" s="21">
        <f>IF($A218="",0,YEAR($A218)*12+MONTH($A218))</f>
        <v/>
      </c>
    </row>
    <row r="219">
      <c r="A219" s="16" t="n"/>
      <c r="B219" s="17" t="n"/>
      <c r="C219" s="17" t="n"/>
      <c r="D219" s="18" t="n"/>
      <c r="E219" s="18" t="n"/>
      <c r="F219" s="17" t="n"/>
      <c r="G219" s="19" t="n"/>
      <c r="H219" s="20">
        <f>IF($A219="","",MONTH($A219)&amp;"/"&amp;YEAR($A219))</f>
        <v/>
      </c>
      <c r="I219" s="21">
        <f>IF($A219="",0,YEAR($A219)*12+MONTH($A219))</f>
        <v/>
      </c>
    </row>
    <row r="220">
      <c r="A220" s="16" t="n"/>
      <c r="B220" s="17" t="n"/>
      <c r="C220" s="17" t="n"/>
      <c r="D220" s="18" t="n"/>
      <c r="E220" s="18" t="n"/>
      <c r="F220" s="17" t="n"/>
      <c r="G220" s="19" t="n"/>
      <c r="H220" s="20">
        <f>IF($A220="","",MONTH($A220)&amp;"/"&amp;YEAR($A220))</f>
        <v/>
      </c>
      <c r="I220" s="21">
        <f>IF($A220="",0,YEAR($A220)*12+MONTH($A220))</f>
        <v/>
      </c>
    </row>
    <row r="221">
      <c r="A221" s="16" t="n"/>
      <c r="B221" s="17" t="n"/>
      <c r="C221" s="17" t="n"/>
      <c r="D221" s="18" t="n"/>
      <c r="E221" s="18" t="n"/>
      <c r="F221" s="17" t="n"/>
      <c r="G221" s="19" t="n"/>
      <c r="H221" s="20">
        <f>IF($A221="","",MONTH($A221)&amp;"/"&amp;YEAR($A221))</f>
        <v/>
      </c>
      <c r="I221" s="21">
        <f>IF($A221="",0,YEAR($A221)*12+MONTH($A221))</f>
        <v/>
      </c>
    </row>
    <row r="222">
      <c r="A222" s="16" t="n"/>
      <c r="B222" s="17" t="n"/>
      <c r="C222" s="17" t="n"/>
      <c r="D222" s="18" t="n"/>
      <c r="E222" s="18" t="n"/>
      <c r="F222" s="17" t="n"/>
      <c r="G222" s="19" t="n"/>
      <c r="H222" s="20">
        <f>IF($A222="","",MONTH($A222)&amp;"/"&amp;YEAR($A222))</f>
        <v/>
      </c>
      <c r="I222" s="21">
        <f>IF($A222="",0,YEAR($A222)*12+MONTH($A222))</f>
        <v/>
      </c>
    </row>
    <row r="223">
      <c r="A223" s="16" t="n"/>
      <c r="B223" s="17" t="n"/>
      <c r="C223" s="17" t="n"/>
      <c r="D223" s="18" t="n"/>
      <c r="E223" s="18" t="n"/>
      <c r="F223" s="17" t="n"/>
      <c r="G223" s="19" t="n"/>
      <c r="H223" s="20">
        <f>IF($A223="","",MONTH($A223)&amp;"/"&amp;YEAR($A223))</f>
        <v/>
      </c>
      <c r="I223" s="21">
        <f>IF($A223="",0,YEAR($A223)*12+MONTH($A223))</f>
        <v/>
      </c>
    </row>
    <row r="224">
      <c r="A224" s="16" t="n"/>
      <c r="B224" s="17" t="n"/>
      <c r="C224" s="17" t="n"/>
      <c r="D224" s="18" t="n"/>
      <c r="E224" s="18" t="n"/>
      <c r="F224" s="17" t="n"/>
      <c r="G224" s="19" t="n"/>
      <c r="H224" s="20">
        <f>IF($A224="","",MONTH($A224)&amp;"/"&amp;YEAR($A224))</f>
        <v/>
      </c>
      <c r="I224" s="21">
        <f>IF($A224="",0,YEAR($A224)*12+MONTH($A224))</f>
        <v/>
      </c>
    </row>
    <row r="225">
      <c r="A225" s="16" t="n"/>
      <c r="B225" s="17" t="n"/>
      <c r="C225" s="17" t="n"/>
      <c r="D225" s="18" t="n"/>
      <c r="E225" s="18" t="n"/>
      <c r="F225" s="17" t="n"/>
      <c r="G225" s="19" t="n"/>
      <c r="H225" s="20">
        <f>IF($A225="","",MONTH($A225)&amp;"/"&amp;YEAR($A225))</f>
        <v/>
      </c>
      <c r="I225" s="21">
        <f>IF($A225="",0,YEAR($A225)*12+MONTH($A225))</f>
        <v/>
      </c>
    </row>
    <row r="226">
      <c r="A226" s="16" t="n"/>
      <c r="B226" s="17" t="n"/>
      <c r="C226" s="17" t="n"/>
      <c r="D226" s="18" t="n"/>
      <c r="E226" s="18" t="n"/>
      <c r="F226" s="17" t="n"/>
      <c r="G226" s="19" t="n"/>
      <c r="H226" s="20">
        <f>IF($A226="","",MONTH($A226)&amp;"/"&amp;YEAR($A226))</f>
        <v/>
      </c>
      <c r="I226" s="21">
        <f>IF($A226="",0,YEAR($A226)*12+MONTH($A226))</f>
        <v/>
      </c>
    </row>
    <row r="227">
      <c r="A227" s="16" t="n"/>
      <c r="B227" s="17" t="n"/>
      <c r="C227" s="17" t="n"/>
      <c r="D227" s="18" t="n"/>
      <c r="E227" s="18" t="n"/>
      <c r="F227" s="17" t="n"/>
      <c r="G227" s="19" t="n"/>
      <c r="H227" s="20">
        <f>IF($A227="","",MONTH($A227)&amp;"/"&amp;YEAR($A227))</f>
        <v/>
      </c>
      <c r="I227" s="21">
        <f>IF($A227="",0,YEAR($A227)*12+MONTH($A227))</f>
        <v/>
      </c>
    </row>
    <row r="228">
      <c r="A228" s="16" t="n"/>
      <c r="B228" s="17" t="n"/>
      <c r="C228" s="17" t="n"/>
      <c r="D228" s="18" t="n"/>
      <c r="E228" s="18" t="n"/>
      <c r="F228" s="17" t="n"/>
      <c r="G228" s="19" t="n"/>
      <c r="H228" s="20">
        <f>IF($A228="","",MONTH($A228)&amp;"/"&amp;YEAR($A228))</f>
        <v/>
      </c>
      <c r="I228" s="21">
        <f>IF($A228="",0,YEAR($A228)*12+MONTH($A228))</f>
        <v/>
      </c>
    </row>
    <row r="229">
      <c r="A229" s="16" t="n"/>
      <c r="B229" s="17" t="n"/>
      <c r="C229" s="17" t="n"/>
      <c r="D229" s="18" t="n"/>
      <c r="E229" s="18" t="n"/>
      <c r="F229" s="17" t="n"/>
      <c r="G229" s="19" t="n"/>
      <c r="H229" s="20">
        <f>IF($A229="","",MONTH($A229)&amp;"/"&amp;YEAR($A229))</f>
        <v/>
      </c>
      <c r="I229" s="21">
        <f>IF($A229="",0,YEAR($A229)*12+MONTH($A229))</f>
        <v/>
      </c>
    </row>
    <row r="230">
      <c r="A230" s="16" t="n"/>
      <c r="B230" s="17" t="n"/>
      <c r="C230" s="17" t="n"/>
      <c r="D230" s="18" t="n"/>
      <c r="E230" s="18" t="n"/>
      <c r="F230" s="17" t="n"/>
      <c r="G230" s="19" t="n"/>
      <c r="H230" s="20">
        <f>IF($A230="","",MONTH($A230)&amp;"/"&amp;YEAR($A230))</f>
        <v/>
      </c>
      <c r="I230" s="21">
        <f>IF($A230="",0,YEAR($A230)*12+MONTH($A230))</f>
        <v/>
      </c>
    </row>
    <row r="231">
      <c r="A231" s="16" t="n"/>
      <c r="B231" s="17" t="n"/>
      <c r="C231" s="17" t="n"/>
      <c r="D231" s="18" t="n"/>
      <c r="E231" s="18" t="n"/>
      <c r="F231" s="17" t="n"/>
      <c r="G231" s="19" t="n"/>
      <c r="H231" s="20">
        <f>IF($A231="","",MONTH($A231)&amp;"/"&amp;YEAR($A231))</f>
        <v/>
      </c>
      <c r="I231" s="21">
        <f>IF($A231="",0,YEAR($A231)*12+MONTH($A231))</f>
        <v/>
      </c>
    </row>
    <row r="232">
      <c r="A232" s="16" t="n"/>
      <c r="B232" s="17" t="n"/>
      <c r="C232" s="17" t="n"/>
      <c r="D232" s="18" t="n"/>
      <c r="E232" s="18" t="n"/>
      <c r="F232" s="17" t="n"/>
      <c r="G232" s="19" t="n"/>
      <c r="H232" s="20">
        <f>IF($A232="","",MONTH($A232)&amp;"/"&amp;YEAR($A232))</f>
        <v/>
      </c>
      <c r="I232" s="21">
        <f>IF($A232="",0,YEAR($A232)*12+MONTH($A232))</f>
        <v/>
      </c>
    </row>
    <row r="233">
      <c r="A233" s="16" t="n"/>
      <c r="B233" s="17" t="n"/>
      <c r="C233" s="17" t="n"/>
      <c r="D233" s="18" t="n"/>
      <c r="E233" s="18" t="n"/>
      <c r="F233" s="17" t="n"/>
      <c r="G233" s="19" t="n"/>
      <c r="H233" s="20">
        <f>IF($A233="","",MONTH($A233)&amp;"/"&amp;YEAR($A233))</f>
        <v/>
      </c>
      <c r="I233" s="21">
        <f>IF($A233="",0,YEAR($A233)*12+MONTH($A233))</f>
        <v/>
      </c>
    </row>
    <row r="234">
      <c r="A234" s="16" t="n"/>
      <c r="B234" s="17" t="n"/>
      <c r="C234" s="17" t="n"/>
      <c r="D234" s="18" t="n"/>
      <c r="E234" s="18" t="n"/>
      <c r="F234" s="17" t="n"/>
      <c r="G234" s="19" t="n"/>
      <c r="H234" s="20">
        <f>IF($A234="","",MONTH($A234)&amp;"/"&amp;YEAR($A234))</f>
        <v/>
      </c>
      <c r="I234" s="21">
        <f>IF($A234="",0,YEAR($A234)*12+MONTH($A234))</f>
        <v/>
      </c>
    </row>
    <row r="235">
      <c r="A235" s="16" t="n"/>
      <c r="B235" s="17" t="n"/>
      <c r="C235" s="17" t="n"/>
      <c r="D235" s="18" t="n"/>
      <c r="E235" s="18" t="n"/>
      <c r="F235" s="17" t="n"/>
      <c r="G235" s="19" t="n"/>
      <c r="H235" s="20">
        <f>IF($A235="","",MONTH($A235)&amp;"/"&amp;YEAR($A235))</f>
        <v/>
      </c>
      <c r="I235" s="21">
        <f>IF($A235="",0,YEAR($A235)*12+MONTH($A235))</f>
        <v/>
      </c>
    </row>
    <row r="236">
      <c r="A236" s="16" t="n"/>
      <c r="B236" s="17" t="n"/>
      <c r="C236" s="17" t="n"/>
      <c r="D236" s="18" t="n"/>
      <c r="E236" s="18" t="n"/>
      <c r="F236" s="17" t="n"/>
      <c r="G236" s="19" t="n"/>
      <c r="H236" s="20">
        <f>IF($A236="","",MONTH($A236)&amp;"/"&amp;YEAR($A236))</f>
        <v/>
      </c>
      <c r="I236" s="21">
        <f>IF($A236="",0,YEAR($A236)*12+MONTH($A236))</f>
        <v/>
      </c>
    </row>
    <row r="237">
      <c r="A237" s="16" t="n"/>
      <c r="B237" s="17" t="n"/>
      <c r="C237" s="17" t="n"/>
      <c r="D237" s="18" t="n"/>
      <c r="E237" s="18" t="n"/>
      <c r="F237" s="17" t="n"/>
      <c r="G237" s="19" t="n"/>
      <c r="H237" s="20">
        <f>IF($A237="","",MONTH($A237)&amp;"/"&amp;YEAR($A237))</f>
        <v/>
      </c>
      <c r="I237" s="21">
        <f>IF($A237="",0,YEAR($A237)*12+MONTH($A237))</f>
        <v/>
      </c>
    </row>
    <row r="238">
      <c r="A238" s="16" t="n"/>
      <c r="B238" s="17" t="n"/>
      <c r="C238" s="17" t="n"/>
      <c r="D238" s="18" t="n"/>
      <c r="E238" s="18" t="n"/>
      <c r="F238" s="17" t="n"/>
      <c r="G238" s="19" t="n"/>
      <c r="H238" s="20">
        <f>IF($A238="","",MONTH($A238)&amp;"/"&amp;YEAR($A238))</f>
        <v/>
      </c>
      <c r="I238" s="21">
        <f>IF($A238="",0,YEAR($A238)*12+MONTH($A238))</f>
        <v/>
      </c>
    </row>
    <row r="239">
      <c r="A239" s="16" t="n"/>
      <c r="B239" s="17" t="n"/>
      <c r="C239" s="17" t="n"/>
      <c r="D239" s="18" t="n"/>
      <c r="E239" s="18" t="n"/>
      <c r="F239" s="17" t="n"/>
      <c r="G239" s="19" t="n"/>
      <c r="H239" s="20">
        <f>IF($A239="","",MONTH($A239)&amp;"/"&amp;YEAR($A239))</f>
        <v/>
      </c>
      <c r="I239" s="21">
        <f>IF($A239="",0,YEAR($A239)*12+MONTH($A239))</f>
        <v/>
      </c>
    </row>
    <row r="240">
      <c r="A240" s="16" t="n"/>
      <c r="B240" s="17" t="n"/>
      <c r="C240" s="17" t="n"/>
      <c r="D240" s="18" t="n"/>
      <c r="E240" s="18" t="n"/>
      <c r="F240" s="17" t="n"/>
      <c r="G240" s="19" t="n"/>
      <c r="H240" s="20">
        <f>IF($A240="","",MONTH($A240)&amp;"/"&amp;YEAR($A240))</f>
        <v/>
      </c>
      <c r="I240" s="21">
        <f>IF($A240="",0,YEAR($A240)*12+MONTH($A240))</f>
        <v/>
      </c>
    </row>
    <row r="241">
      <c r="A241" s="16" t="n"/>
      <c r="B241" s="17" t="n"/>
      <c r="C241" s="17" t="n"/>
      <c r="D241" s="18" t="n"/>
      <c r="E241" s="18" t="n"/>
      <c r="F241" s="17" t="n"/>
      <c r="G241" s="19" t="n"/>
      <c r="H241" s="20">
        <f>IF($A241="","",MONTH($A241)&amp;"/"&amp;YEAR($A241))</f>
        <v/>
      </c>
      <c r="I241" s="21">
        <f>IF($A241="",0,YEAR($A241)*12+MONTH($A241))</f>
        <v/>
      </c>
    </row>
    <row r="242">
      <c r="A242" s="16" t="n"/>
      <c r="B242" s="17" t="n"/>
      <c r="C242" s="17" t="n"/>
      <c r="D242" s="18" t="n"/>
      <c r="E242" s="18" t="n"/>
      <c r="F242" s="17" t="n"/>
      <c r="G242" s="19" t="n"/>
      <c r="H242" s="20">
        <f>IF($A242="","",MONTH($A242)&amp;"/"&amp;YEAR($A242))</f>
        <v/>
      </c>
      <c r="I242" s="21">
        <f>IF($A242="",0,YEAR($A242)*12+MONTH($A242))</f>
        <v/>
      </c>
    </row>
    <row r="243">
      <c r="A243" s="16" t="n"/>
      <c r="B243" s="17" t="n"/>
      <c r="C243" s="17" t="n"/>
      <c r="D243" s="18" t="n"/>
      <c r="E243" s="18" t="n"/>
      <c r="F243" s="17" t="n"/>
      <c r="G243" s="19" t="n"/>
      <c r="H243" s="20">
        <f>IF($A243="","",MONTH($A243)&amp;"/"&amp;YEAR($A243))</f>
        <v/>
      </c>
      <c r="I243" s="21">
        <f>IF($A243="",0,YEAR($A243)*12+MONTH($A243))</f>
        <v/>
      </c>
    </row>
    <row r="244">
      <c r="A244" s="16" t="n"/>
      <c r="B244" s="17" t="n"/>
      <c r="C244" s="17" t="n"/>
      <c r="D244" s="18" t="n"/>
      <c r="E244" s="18" t="n"/>
      <c r="F244" s="17" t="n"/>
      <c r="G244" s="19" t="n"/>
      <c r="H244" s="20">
        <f>IF($A244="","",MONTH($A244)&amp;"/"&amp;YEAR($A244))</f>
        <v/>
      </c>
      <c r="I244" s="21">
        <f>IF($A244="",0,YEAR($A244)*12+MONTH($A244))</f>
        <v/>
      </c>
    </row>
    <row r="245">
      <c r="A245" s="16" t="n"/>
      <c r="B245" s="17" t="n"/>
      <c r="C245" s="17" t="n"/>
      <c r="D245" s="18" t="n"/>
      <c r="E245" s="18" t="n"/>
      <c r="F245" s="17" t="n"/>
      <c r="G245" s="19" t="n"/>
      <c r="H245" s="20">
        <f>IF($A245="","",MONTH($A245)&amp;"/"&amp;YEAR($A245))</f>
        <v/>
      </c>
      <c r="I245" s="21">
        <f>IF($A245="",0,YEAR($A245)*12+MONTH($A245))</f>
        <v/>
      </c>
    </row>
    <row r="246">
      <c r="A246" s="16" t="n"/>
      <c r="B246" s="17" t="n"/>
      <c r="C246" s="17" t="n"/>
      <c r="D246" s="18" t="n"/>
      <c r="E246" s="18" t="n"/>
      <c r="F246" s="17" t="n"/>
      <c r="G246" s="19" t="n"/>
      <c r="H246" s="20">
        <f>IF($A246="","",MONTH($A246)&amp;"/"&amp;YEAR($A246))</f>
        <v/>
      </c>
      <c r="I246" s="21">
        <f>IF($A246="",0,YEAR($A246)*12+MONTH($A246))</f>
        <v/>
      </c>
    </row>
    <row r="247">
      <c r="A247" s="16" t="n"/>
      <c r="B247" s="17" t="n"/>
      <c r="C247" s="17" t="n"/>
      <c r="D247" s="18" t="n"/>
      <c r="E247" s="18" t="n"/>
      <c r="F247" s="17" t="n"/>
      <c r="G247" s="19" t="n"/>
      <c r="H247" s="20">
        <f>IF($A247="","",MONTH($A247)&amp;"/"&amp;YEAR($A247))</f>
        <v/>
      </c>
      <c r="I247" s="21">
        <f>IF($A247="",0,YEAR($A247)*12+MONTH($A247))</f>
        <v/>
      </c>
    </row>
    <row r="248">
      <c r="A248" s="16" t="n"/>
      <c r="B248" s="17" t="n"/>
      <c r="C248" s="17" t="n"/>
      <c r="D248" s="18" t="n"/>
      <c r="E248" s="18" t="n"/>
      <c r="F248" s="17" t="n"/>
      <c r="G248" s="19" t="n"/>
      <c r="H248" s="20">
        <f>IF($A248="","",MONTH($A248)&amp;"/"&amp;YEAR($A248))</f>
        <v/>
      </c>
      <c r="I248" s="21">
        <f>IF($A248="",0,YEAR($A248)*12+MONTH($A248))</f>
        <v/>
      </c>
    </row>
    <row r="249">
      <c r="A249" s="16" t="n"/>
      <c r="B249" s="17" t="n"/>
      <c r="C249" s="17" t="n"/>
      <c r="D249" s="18" t="n"/>
      <c r="E249" s="18" t="n"/>
      <c r="F249" s="17" t="n"/>
      <c r="G249" s="19" t="n"/>
      <c r="H249" s="20">
        <f>IF($A249="","",MONTH($A249)&amp;"/"&amp;YEAR($A249))</f>
        <v/>
      </c>
      <c r="I249" s="21">
        <f>IF($A249="",0,YEAR($A249)*12+MONTH($A249))</f>
        <v/>
      </c>
    </row>
    <row r="250">
      <c r="A250" s="16" t="n"/>
      <c r="B250" s="17" t="n"/>
      <c r="C250" s="17" t="n"/>
      <c r="D250" s="18" t="n"/>
      <c r="E250" s="18" t="n"/>
      <c r="F250" s="17" t="n"/>
      <c r="G250" s="19" t="n"/>
      <c r="H250" s="20">
        <f>IF($A250="","",MONTH($A250)&amp;"/"&amp;YEAR($A250))</f>
        <v/>
      </c>
      <c r="I250" s="21">
        <f>IF($A250="",0,YEAR($A250)*12+MONTH($A250))</f>
        <v/>
      </c>
    </row>
    <row r="251">
      <c r="A251" s="16" t="n"/>
      <c r="B251" s="17" t="n"/>
      <c r="C251" s="17" t="n"/>
      <c r="D251" s="18" t="n"/>
      <c r="E251" s="18" t="n"/>
      <c r="F251" s="17" t="n"/>
      <c r="G251" s="19" t="n"/>
      <c r="H251" s="20">
        <f>IF($A251="","",MONTH($A251)&amp;"/"&amp;YEAR($A251))</f>
        <v/>
      </c>
      <c r="I251" s="21">
        <f>IF($A251="",0,YEAR($A251)*12+MONTH($A251))</f>
        <v/>
      </c>
    </row>
    <row r="252">
      <c r="A252" s="16" t="n"/>
      <c r="B252" s="17" t="n"/>
      <c r="C252" s="17" t="n"/>
      <c r="D252" s="18" t="n"/>
      <c r="E252" s="18" t="n"/>
      <c r="F252" s="17" t="n"/>
      <c r="G252" s="19" t="n"/>
      <c r="H252" s="20">
        <f>IF($A252="","",MONTH($A252)&amp;"/"&amp;YEAR($A252))</f>
        <v/>
      </c>
      <c r="I252" s="21">
        <f>IF($A252="",0,YEAR($A252)*12+MONTH($A252))</f>
        <v/>
      </c>
    </row>
    <row r="253">
      <c r="A253" s="16" t="n"/>
      <c r="B253" s="17" t="n"/>
      <c r="C253" s="17" t="n"/>
      <c r="D253" s="18" t="n"/>
      <c r="E253" s="18" t="n"/>
      <c r="F253" s="17" t="n"/>
      <c r="G253" s="19" t="n"/>
      <c r="H253" s="20">
        <f>IF($A253="","",MONTH($A253)&amp;"/"&amp;YEAR($A253))</f>
        <v/>
      </c>
      <c r="I253" s="21">
        <f>IF($A253="",0,YEAR($A253)*12+MONTH($A253))</f>
        <v/>
      </c>
    </row>
    <row r="254">
      <c r="A254" s="16" t="n"/>
      <c r="B254" s="17" t="n"/>
      <c r="C254" s="17" t="n"/>
      <c r="D254" s="18" t="n"/>
      <c r="E254" s="18" t="n"/>
      <c r="F254" s="17" t="n"/>
      <c r="G254" s="19" t="n"/>
      <c r="H254" s="20">
        <f>IF($A254="","",MONTH($A254)&amp;"/"&amp;YEAR($A254))</f>
        <v/>
      </c>
      <c r="I254" s="21">
        <f>IF($A254="",0,YEAR($A254)*12+MONTH($A254))</f>
        <v/>
      </c>
    </row>
    <row r="255">
      <c r="A255" s="16" t="n"/>
      <c r="B255" s="17" t="n"/>
      <c r="C255" s="17" t="n"/>
      <c r="D255" s="18" t="n"/>
      <c r="E255" s="18" t="n"/>
      <c r="F255" s="17" t="n"/>
      <c r="G255" s="19" t="n"/>
      <c r="H255" s="20">
        <f>IF($A255="","",MONTH($A255)&amp;"/"&amp;YEAR($A255))</f>
        <v/>
      </c>
      <c r="I255" s="21">
        <f>IF($A255="",0,YEAR($A255)*12+MONTH($A255))</f>
        <v/>
      </c>
    </row>
    <row r="256">
      <c r="A256" s="16" t="n"/>
      <c r="B256" s="17" t="n"/>
      <c r="C256" s="17" t="n"/>
      <c r="D256" s="18" t="n"/>
      <c r="E256" s="18" t="n"/>
      <c r="F256" s="17" t="n"/>
      <c r="G256" s="19" t="n"/>
      <c r="H256" s="20">
        <f>IF($A256="","",MONTH($A256)&amp;"/"&amp;YEAR($A256))</f>
        <v/>
      </c>
      <c r="I256" s="21">
        <f>IF($A256="",0,YEAR($A256)*12+MONTH($A256))</f>
        <v/>
      </c>
    </row>
    <row r="257">
      <c r="A257" s="16" t="n"/>
      <c r="B257" s="17" t="n"/>
      <c r="C257" s="17" t="n"/>
      <c r="D257" s="18" t="n"/>
      <c r="E257" s="18" t="n"/>
      <c r="F257" s="17" t="n"/>
      <c r="G257" s="19" t="n"/>
      <c r="H257" s="20">
        <f>IF($A257="","",MONTH($A257)&amp;"/"&amp;YEAR($A257))</f>
        <v/>
      </c>
      <c r="I257" s="21">
        <f>IF($A257="",0,YEAR($A257)*12+MONTH($A257))</f>
        <v/>
      </c>
    </row>
    <row r="258">
      <c r="A258" s="16" t="n"/>
      <c r="B258" s="17" t="n"/>
      <c r="C258" s="17" t="n"/>
      <c r="D258" s="18" t="n"/>
      <c r="E258" s="18" t="n"/>
      <c r="F258" s="17" t="n"/>
      <c r="G258" s="19" t="n"/>
      <c r="H258" s="20">
        <f>IF($A258="","",MONTH($A258)&amp;"/"&amp;YEAR($A258))</f>
        <v/>
      </c>
      <c r="I258" s="21">
        <f>IF($A258="",0,YEAR($A258)*12+MONTH($A258))</f>
        <v/>
      </c>
    </row>
    <row r="259">
      <c r="A259" s="16" t="n"/>
      <c r="B259" s="17" t="n"/>
      <c r="C259" s="17" t="n"/>
      <c r="D259" s="18" t="n"/>
      <c r="E259" s="18" t="n"/>
      <c r="F259" s="17" t="n"/>
      <c r="G259" s="19" t="n"/>
      <c r="H259" s="20">
        <f>IF($A259="","",MONTH($A259)&amp;"/"&amp;YEAR($A259))</f>
        <v/>
      </c>
      <c r="I259" s="21">
        <f>IF($A259="",0,YEAR($A259)*12+MONTH($A259))</f>
        <v/>
      </c>
    </row>
    <row r="260">
      <c r="A260" s="16" t="n"/>
      <c r="B260" s="17" t="n"/>
      <c r="C260" s="17" t="n"/>
      <c r="D260" s="18" t="n"/>
      <c r="E260" s="18" t="n"/>
      <c r="F260" s="17" t="n"/>
      <c r="G260" s="19" t="n"/>
      <c r="H260" s="20">
        <f>IF($A260="","",MONTH($A260)&amp;"/"&amp;YEAR($A260))</f>
        <v/>
      </c>
      <c r="I260" s="21">
        <f>IF($A260="",0,YEAR($A260)*12+MONTH($A260))</f>
        <v/>
      </c>
    </row>
    <row r="261">
      <c r="A261" s="16" t="n"/>
      <c r="B261" s="17" t="n"/>
      <c r="C261" s="17" t="n"/>
      <c r="D261" s="18" t="n"/>
      <c r="E261" s="18" t="n"/>
      <c r="F261" s="17" t="n"/>
      <c r="G261" s="19" t="n"/>
      <c r="H261" s="20">
        <f>IF($A261="","",MONTH($A261)&amp;"/"&amp;YEAR($A261))</f>
        <v/>
      </c>
      <c r="I261" s="21">
        <f>IF($A261="",0,YEAR($A261)*12+MONTH($A261))</f>
        <v/>
      </c>
    </row>
    <row r="262">
      <c r="A262" s="16" t="n"/>
      <c r="B262" s="17" t="n"/>
      <c r="C262" s="17" t="n"/>
      <c r="D262" s="18" t="n"/>
      <c r="E262" s="18" t="n"/>
      <c r="F262" s="17" t="n"/>
      <c r="G262" s="19" t="n"/>
      <c r="H262" s="20">
        <f>IF($A262="","",MONTH($A262)&amp;"/"&amp;YEAR($A262))</f>
        <v/>
      </c>
      <c r="I262" s="21">
        <f>IF($A262="",0,YEAR($A262)*12+MONTH($A262))</f>
        <v/>
      </c>
    </row>
    <row r="263">
      <c r="A263" s="16" t="n"/>
      <c r="B263" s="17" t="n"/>
      <c r="C263" s="17" t="n"/>
      <c r="D263" s="18" t="n"/>
      <c r="E263" s="18" t="n"/>
      <c r="F263" s="17" t="n"/>
      <c r="G263" s="19" t="n"/>
      <c r="H263" s="20">
        <f>IF($A263="","",MONTH($A263)&amp;"/"&amp;YEAR($A263))</f>
        <v/>
      </c>
      <c r="I263" s="21">
        <f>IF($A263="",0,YEAR($A263)*12+MONTH($A263))</f>
        <v/>
      </c>
    </row>
    <row r="264">
      <c r="A264" s="16" t="n"/>
      <c r="B264" s="17" t="n"/>
      <c r="C264" s="17" t="n"/>
      <c r="D264" s="18" t="n"/>
      <c r="E264" s="18" t="n"/>
      <c r="F264" s="17" t="n"/>
      <c r="G264" s="19" t="n"/>
      <c r="H264" s="20">
        <f>IF($A264="","",MONTH($A264)&amp;"/"&amp;YEAR($A264))</f>
        <v/>
      </c>
      <c r="I264" s="21">
        <f>IF($A264="",0,YEAR($A264)*12+MONTH($A264))</f>
        <v/>
      </c>
    </row>
    <row r="265">
      <c r="A265" s="16" t="n"/>
      <c r="B265" s="17" t="n"/>
      <c r="C265" s="17" t="n"/>
      <c r="D265" s="18" t="n"/>
      <c r="E265" s="18" t="n"/>
      <c r="F265" s="17" t="n"/>
      <c r="G265" s="19" t="n"/>
      <c r="H265" s="20">
        <f>IF($A265="","",MONTH($A265)&amp;"/"&amp;YEAR($A265))</f>
        <v/>
      </c>
      <c r="I265" s="21">
        <f>IF($A265="",0,YEAR($A265)*12+MONTH($A265))</f>
        <v/>
      </c>
    </row>
    <row r="266">
      <c r="A266" s="16" t="n"/>
      <c r="B266" s="17" t="n"/>
      <c r="C266" s="17" t="n"/>
      <c r="D266" s="18" t="n"/>
      <c r="E266" s="18" t="n"/>
      <c r="F266" s="17" t="n"/>
      <c r="G266" s="19" t="n"/>
      <c r="H266" s="20">
        <f>IF($A266="","",MONTH($A266)&amp;"/"&amp;YEAR($A266))</f>
        <v/>
      </c>
      <c r="I266" s="21">
        <f>IF($A266="",0,YEAR($A266)*12+MONTH($A266))</f>
        <v/>
      </c>
    </row>
    <row r="267">
      <c r="A267" s="16" t="n"/>
      <c r="B267" s="17" t="n"/>
      <c r="C267" s="17" t="n"/>
      <c r="D267" s="18" t="n"/>
      <c r="E267" s="18" t="n"/>
      <c r="F267" s="17" t="n"/>
      <c r="G267" s="19" t="n"/>
      <c r="H267" s="20">
        <f>IF($A267="","",MONTH($A267)&amp;"/"&amp;YEAR($A267))</f>
        <v/>
      </c>
      <c r="I267" s="21">
        <f>IF($A267="",0,YEAR($A267)*12+MONTH($A267))</f>
        <v/>
      </c>
    </row>
    <row r="268">
      <c r="A268" s="16" t="n"/>
      <c r="B268" s="17" t="n"/>
      <c r="C268" s="17" t="n"/>
      <c r="D268" s="18" t="n"/>
      <c r="E268" s="18" t="n"/>
      <c r="F268" s="17" t="n"/>
      <c r="G268" s="19" t="n"/>
      <c r="H268" s="20">
        <f>IF($A268="","",MONTH($A268)&amp;"/"&amp;YEAR($A268))</f>
        <v/>
      </c>
      <c r="I268" s="21">
        <f>IF($A268="",0,YEAR($A268)*12+MONTH($A268))</f>
        <v/>
      </c>
    </row>
    <row r="269">
      <c r="A269" s="16" t="n"/>
      <c r="B269" s="17" t="n"/>
      <c r="C269" s="17" t="n"/>
      <c r="D269" s="18" t="n"/>
      <c r="E269" s="18" t="n"/>
      <c r="F269" s="17" t="n"/>
      <c r="G269" s="19" t="n"/>
      <c r="H269" s="20">
        <f>IF($A269="","",MONTH($A269)&amp;"/"&amp;YEAR($A269))</f>
        <v/>
      </c>
      <c r="I269" s="21">
        <f>IF($A269="",0,YEAR($A269)*12+MONTH($A269))</f>
        <v/>
      </c>
    </row>
    <row r="270">
      <c r="A270" s="16" t="n"/>
      <c r="B270" s="17" t="n"/>
      <c r="C270" s="17" t="n"/>
      <c r="D270" s="18" t="n"/>
      <c r="E270" s="18" t="n"/>
      <c r="F270" s="17" t="n"/>
      <c r="G270" s="19" t="n"/>
      <c r="H270" s="20">
        <f>IF($A270="","",MONTH($A270)&amp;"/"&amp;YEAR($A270))</f>
        <v/>
      </c>
      <c r="I270" s="21">
        <f>IF($A270="",0,YEAR($A270)*12+MONTH($A270))</f>
        <v/>
      </c>
    </row>
    <row r="271">
      <c r="A271" s="16" t="n"/>
      <c r="B271" s="17" t="n"/>
      <c r="C271" s="17" t="n"/>
      <c r="D271" s="18" t="n"/>
      <c r="E271" s="18" t="n"/>
      <c r="F271" s="17" t="n"/>
      <c r="G271" s="19" t="n"/>
      <c r="H271" s="20">
        <f>IF($A271="","",MONTH($A271)&amp;"/"&amp;YEAR($A271))</f>
        <v/>
      </c>
      <c r="I271" s="21">
        <f>IF($A271="",0,YEAR($A271)*12+MONTH($A271))</f>
        <v/>
      </c>
    </row>
    <row r="272">
      <c r="A272" s="16" t="n"/>
      <c r="B272" s="17" t="n"/>
      <c r="C272" s="17" t="n"/>
      <c r="D272" s="18" t="n"/>
      <c r="E272" s="18" t="n"/>
      <c r="F272" s="17" t="n"/>
      <c r="G272" s="19" t="n"/>
      <c r="H272" s="20">
        <f>IF($A272="","",MONTH($A272)&amp;"/"&amp;YEAR($A272))</f>
        <v/>
      </c>
      <c r="I272" s="21">
        <f>IF($A272="",0,YEAR($A272)*12+MONTH($A272))</f>
        <v/>
      </c>
    </row>
    <row r="273">
      <c r="A273" s="16" t="n"/>
      <c r="B273" s="17" t="n"/>
      <c r="C273" s="17" t="n"/>
      <c r="D273" s="18" t="n"/>
      <c r="E273" s="18" t="n"/>
      <c r="F273" s="17" t="n"/>
      <c r="G273" s="19" t="n"/>
      <c r="H273" s="20">
        <f>IF($A273="","",MONTH($A273)&amp;"/"&amp;YEAR($A273))</f>
        <v/>
      </c>
      <c r="I273" s="21">
        <f>IF($A273="",0,YEAR($A273)*12+MONTH($A273))</f>
        <v/>
      </c>
    </row>
    <row r="274">
      <c r="A274" s="16" t="n"/>
      <c r="B274" s="17" t="n"/>
      <c r="C274" s="17" t="n"/>
      <c r="D274" s="18" t="n"/>
      <c r="E274" s="18" t="n"/>
      <c r="F274" s="17" t="n"/>
      <c r="G274" s="19" t="n"/>
      <c r="H274" s="20">
        <f>IF($A274="","",MONTH($A274)&amp;"/"&amp;YEAR($A274))</f>
        <v/>
      </c>
      <c r="I274" s="21">
        <f>IF($A274="",0,YEAR($A274)*12+MONTH($A274))</f>
        <v/>
      </c>
    </row>
    <row r="275">
      <c r="A275" s="16" t="n"/>
      <c r="B275" s="17" t="n"/>
      <c r="C275" s="17" t="n"/>
      <c r="D275" s="18" t="n"/>
      <c r="E275" s="18" t="n"/>
      <c r="F275" s="17" t="n"/>
      <c r="G275" s="19" t="n"/>
      <c r="H275" s="20">
        <f>IF($A275="","",MONTH($A275)&amp;"/"&amp;YEAR($A275))</f>
        <v/>
      </c>
      <c r="I275" s="21">
        <f>IF($A275="",0,YEAR($A275)*12+MONTH($A275))</f>
        <v/>
      </c>
    </row>
    <row r="276">
      <c r="A276" s="16" t="n"/>
      <c r="B276" s="17" t="n"/>
      <c r="C276" s="17" t="n"/>
      <c r="D276" s="18" t="n"/>
      <c r="E276" s="18" t="n"/>
      <c r="F276" s="17" t="n"/>
      <c r="G276" s="19" t="n"/>
      <c r="H276" s="20">
        <f>IF($A276="","",MONTH($A276)&amp;"/"&amp;YEAR($A276))</f>
        <v/>
      </c>
      <c r="I276" s="21">
        <f>IF($A276="",0,YEAR($A276)*12+MONTH($A276))</f>
        <v/>
      </c>
    </row>
    <row r="277">
      <c r="A277" s="16" t="n"/>
      <c r="B277" s="17" t="n"/>
      <c r="C277" s="17" t="n"/>
      <c r="D277" s="18" t="n"/>
      <c r="E277" s="18" t="n"/>
      <c r="F277" s="17" t="n"/>
      <c r="G277" s="19" t="n"/>
      <c r="H277" s="20">
        <f>IF($A277="","",MONTH($A277)&amp;"/"&amp;YEAR($A277))</f>
        <v/>
      </c>
      <c r="I277" s="21">
        <f>IF($A277="",0,YEAR($A277)*12+MONTH($A277))</f>
        <v/>
      </c>
    </row>
    <row r="278">
      <c r="A278" s="16" t="n"/>
      <c r="B278" s="17" t="n"/>
      <c r="C278" s="17" t="n"/>
      <c r="D278" s="18" t="n"/>
      <c r="E278" s="18" t="n"/>
      <c r="F278" s="17" t="n"/>
      <c r="G278" s="19" t="n"/>
      <c r="H278" s="20">
        <f>IF($A278="","",MONTH($A278)&amp;"/"&amp;YEAR($A278))</f>
        <v/>
      </c>
      <c r="I278" s="21">
        <f>IF($A278="",0,YEAR($A278)*12+MONTH($A278))</f>
        <v/>
      </c>
    </row>
    <row r="279">
      <c r="A279" s="16" t="n"/>
      <c r="B279" s="17" t="n"/>
      <c r="C279" s="17" t="n"/>
      <c r="D279" s="18" t="n"/>
      <c r="E279" s="18" t="n"/>
      <c r="F279" s="17" t="n"/>
      <c r="G279" s="19" t="n"/>
      <c r="H279" s="20">
        <f>IF($A279="","",MONTH($A279)&amp;"/"&amp;YEAR($A279))</f>
        <v/>
      </c>
      <c r="I279" s="21">
        <f>IF($A279="",0,YEAR($A279)*12+MONTH($A279))</f>
        <v/>
      </c>
    </row>
    <row r="280">
      <c r="A280" s="16" t="n"/>
      <c r="B280" s="17" t="n"/>
      <c r="C280" s="17" t="n"/>
      <c r="D280" s="18" t="n"/>
      <c r="E280" s="18" t="n"/>
      <c r="F280" s="17" t="n"/>
      <c r="G280" s="19" t="n"/>
      <c r="H280" s="20">
        <f>IF($A280="","",MONTH($A280)&amp;"/"&amp;YEAR($A280))</f>
        <v/>
      </c>
      <c r="I280" s="21">
        <f>IF($A280="",0,YEAR($A280)*12+MONTH($A280))</f>
        <v/>
      </c>
    </row>
    <row r="281">
      <c r="A281" s="16" t="n"/>
      <c r="B281" s="17" t="n"/>
      <c r="C281" s="17" t="n"/>
      <c r="D281" s="18" t="n"/>
      <c r="E281" s="18" t="n"/>
      <c r="F281" s="17" t="n"/>
      <c r="G281" s="19" t="n"/>
      <c r="H281" s="20">
        <f>IF($A281="","",MONTH($A281)&amp;"/"&amp;YEAR($A281))</f>
        <v/>
      </c>
      <c r="I281" s="21">
        <f>IF($A281="",0,YEAR($A281)*12+MONTH($A281))</f>
        <v/>
      </c>
    </row>
    <row r="282">
      <c r="A282" s="16" t="n"/>
      <c r="B282" s="17" t="n"/>
      <c r="C282" s="17" t="n"/>
      <c r="D282" s="18" t="n"/>
      <c r="E282" s="18" t="n"/>
      <c r="F282" s="17" t="n"/>
      <c r="G282" s="19" t="n"/>
      <c r="H282" s="20">
        <f>IF($A282="","",MONTH($A282)&amp;"/"&amp;YEAR($A282))</f>
        <v/>
      </c>
      <c r="I282" s="21">
        <f>IF($A282="",0,YEAR($A282)*12+MONTH($A282))</f>
        <v/>
      </c>
    </row>
    <row r="283">
      <c r="A283" s="16" t="n"/>
      <c r="B283" s="17" t="n"/>
      <c r="C283" s="17" t="n"/>
      <c r="D283" s="18" t="n"/>
      <c r="E283" s="18" t="n"/>
      <c r="F283" s="17" t="n"/>
      <c r="G283" s="19" t="n"/>
      <c r="H283" s="20">
        <f>IF($A283="","",MONTH($A283)&amp;"/"&amp;YEAR($A283))</f>
        <v/>
      </c>
      <c r="I283" s="21">
        <f>IF($A283="",0,YEAR($A283)*12+MONTH($A283))</f>
        <v/>
      </c>
    </row>
    <row r="284">
      <c r="A284" s="16" t="n"/>
      <c r="B284" s="17" t="n"/>
      <c r="C284" s="17" t="n"/>
      <c r="D284" s="18" t="n"/>
      <c r="E284" s="18" t="n"/>
      <c r="F284" s="17" t="n"/>
      <c r="G284" s="19" t="n"/>
      <c r="H284" s="20">
        <f>IF($A284="","",MONTH($A284)&amp;"/"&amp;YEAR($A284))</f>
        <v/>
      </c>
      <c r="I284" s="21">
        <f>IF($A284="",0,YEAR($A284)*12+MONTH($A284))</f>
        <v/>
      </c>
    </row>
    <row r="285">
      <c r="A285" s="16" t="n"/>
      <c r="B285" s="17" t="n"/>
      <c r="C285" s="17" t="n"/>
      <c r="D285" s="18" t="n"/>
      <c r="E285" s="18" t="n"/>
      <c r="F285" s="17" t="n"/>
      <c r="G285" s="19" t="n"/>
      <c r="H285" s="20">
        <f>IF($A285="","",MONTH($A285)&amp;"/"&amp;YEAR($A285))</f>
        <v/>
      </c>
      <c r="I285" s="21">
        <f>IF($A285="",0,YEAR($A285)*12+MONTH($A285))</f>
        <v/>
      </c>
    </row>
    <row r="286">
      <c r="A286" s="16" t="n"/>
      <c r="B286" s="17" t="n"/>
      <c r="C286" s="17" t="n"/>
      <c r="D286" s="18" t="n"/>
      <c r="E286" s="18" t="n"/>
      <c r="F286" s="17" t="n"/>
      <c r="G286" s="19" t="n"/>
      <c r="H286" s="20">
        <f>IF($A286="","",MONTH($A286)&amp;"/"&amp;YEAR($A286))</f>
        <v/>
      </c>
      <c r="I286" s="21">
        <f>IF($A286="",0,YEAR($A286)*12+MONTH($A286))</f>
        <v/>
      </c>
    </row>
    <row r="287">
      <c r="A287" s="16" t="n"/>
      <c r="B287" s="17" t="n"/>
      <c r="C287" s="17" t="n"/>
      <c r="D287" s="18" t="n"/>
      <c r="E287" s="18" t="n"/>
      <c r="F287" s="17" t="n"/>
      <c r="G287" s="19" t="n"/>
      <c r="H287" s="20">
        <f>IF($A287="","",MONTH($A287)&amp;"/"&amp;YEAR($A287))</f>
        <v/>
      </c>
      <c r="I287" s="21">
        <f>IF($A287="",0,YEAR($A287)*12+MONTH($A287))</f>
        <v/>
      </c>
    </row>
    <row r="288">
      <c r="A288" s="16" t="n"/>
      <c r="B288" s="17" t="n"/>
      <c r="C288" s="17" t="n"/>
      <c r="D288" s="18" t="n"/>
      <c r="E288" s="18" t="n"/>
      <c r="F288" s="17" t="n"/>
      <c r="G288" s="19" t="n"/>
      <c r="H288" s="20">
        <f>IF($A288="","",MONTH($A288)&amp;"/"&amp;YEAR($A288))</f>
        <v/>
      </c>
      <c r="I288" s="21">
        <f>IF($A288="",0,YEAR($A288)*12+MONTH($A288))</f>
        <v/>
      </c>
    </row>
    <row r="289">
      <c r="A289" s="16" t="n"/>
      <c r="B289" s="17" t="n"/>
      <c r="C289" s="17" t="n"/>
      <c r="D289" s="18" t="n"/>
      <c r="E289" s="18" t="n"/>
      <c r="F289" s="17" t="n"/>
      <c r="G289" s="19" t="n"/>
      <c r="H289" s="20">
        <f>IF($A289="","",MONTH($A289)&amp;"/"&amp;YEAR($A289))</f>
        <v/>
      </c>
      <c r="I289" s="21">
        <f>IF($A289="",0,YEAR($A289)*12+MONTH($A289))</f>
        <v/>
      </c>
    </row>
    <row r="290">
      <c r="A290" s="16" t="n"/>
      <c r="B290" s="17" t="n"/>
      <c r="C290" s="17" t="n"/>
      <c r="D290" s="18" t="n"/>
      <c r="E290" s="18" t="n"/>
      <c r="F290" s="17" t="n"/>
      <c r="G290" s="19" t="n"/>
      <c r="H290" s="20">
        <f>IF($A290="","",MONTH($A290)&amp;"/"&amp;YEAR($A290))</f>
        <v/>
      </c>
      <c r="I290" s="21">
        <f>IF($A290="",0,YEAR($A290)*12+MONTH($A290))</f>
        <v/>
      </c>
    </row>
    <row r="291">
      <c r="A291" s="16" t="n"/>
      <c r="B291" s="17" t="n"/>
      <c r="C291" s="17" t="n"/>
      <c r="D291" s="18" t="n"/>
      <c r="E291" s="18" t="n"/>
      <c r="F291" s="17" t="n"/>
      <c r="G291" s="19" t="n"/>
      <c r="H291" s="20">
        <f>IF($A291="","",MONTH($A291)&amp;"/"&amp;YEAR($A291))</f>
        <v/>
      </c>
      <c r="I291" s="21">
        <f>IF($A291="",0,YEAR($A291)*12+MONTH($A291))</f>
        <v/>
      </c>
    </row>
    <row r="292">
      <c r="A292" s="16" t="n"/>
      <c r="B292" s="17" t="n"/>
      <c r="C292" s="17" t="n"/>
      <c r="D292" s="18" t="n"/>
      <c r="E292" s="18" t="n"/>
      <c r="F292" s="17" t="n"/>
      <c r="G292" s="19" t="n"/>
      <c r="H292" s="20">
        <f>IF($A292="","",MONTH($A292)&amp;"/"&amp;YEAR($A292))</f>
        <v/>
      </c>
      <c r="I292" s="21">
        <f>IF($A292="",0,YEAR($A292)*12+MONTH($A292))</f>
        <v/>
      </c>
    </row>
    <row r="293">
      <c r="A293" s="16" t="n"/>
      <c r="B293" s="17" t="n"/>
      <c r="C293" s="17" t="n"/>
      <c r="D293" s="18" t="n"/>
      <c r="E293" s="18" t="n"/>
      <c r="F293" s="17" t="n"/>
      <c r="G293" s="19" t="n"/>
      <c r="H293" s="20">
        <f>IF($A293="","",MONTH($A293)&amp;"/"&amp;YEAR($A293))</f>
        <v/>
      </c>
      <c r="I293" s="21">
        <f>IF($A293="",0,YEAR($A293)*12+MONTH($A293))</f>
        <v/>
      </c>
    </row>
    <row r="294">
      <c r="A294" s="16" t="n"/>
      <c r="B294" s="17" t="n"/>
      <c r="C294" s="17" t="n"/>
      <c r="D294" s="18" t="n"/>
      <c r="E294" s="18" t="n"/>
      <c r="F294" s="17" t="n"/>
      <c r="G294" s="19" t="n"/>
      <c r="H294" s="20">
        <f>IF($A294="","",MONTH($A294)&amp;"/"&amp;YEAR($A294))</f>
        <v/>
      </c>
      <c r="I294" s="21">
        <f>IF($A294="",0,YEAR($A294)*12+MONTH($A294))</f>
        <v/>
      </c>
    </row>
    <row r="295">
      <c r="A295" s="16" t="n"/>
      <c r="B295" s="17" t="n"/>
      <c r="C295" s="17" t="n"/>
      <c r="D295" s="18" t="n"/>
      <c r="E295" s="18" t="n"/>
      <c r="F295" s="17" t="n"/>
      <c r="G295" s="19" t="n"/>
      <c r="H295" s="20">
        <f>IF($A295="","",MONTH($A295)&amp;"/"&amp;YEAR($A295))</f>
        <v/>
      </c>
      <c r="I295" s="21">
        <f>IF($A295="",0,YEAR($A295)*12+MONTH($A295))</f>
        <v/>
      </c>
    </row>
    <row r="296">
      <c r="A296" s="16" t="n"/>
      <c r="B296" s="17" t="n"/>
      <c r="C296" s="17" t="n"/>
      <c r="D296" s="18" t="n"/>
      <c r="E296" s="18" t="n"/>
      <c r="F296" s="17" t="n"/>
      <c r="G296" s="19" t="n"/>
      <c r="H296" s="20">
        <f>IF($A296="","",MONTH($A296)&amp;"/"&amp;YEAR($A296))</f>
        <v/>
      </c>
      <c r="I296" s="21">
        <f>IF($A296="",0,YEAR($A296)*12+MONTH($A296))</f>
        <v/>
      </c>
    </row>
    <row r="297">
      <c r="A297" s="16" t="n"/>
      <c r="B297" s="17" t="n"/>
      <c r="C297" s="17" t="n"/>
      <c r="D297" s="18" t="n"/>
      <c r="E297" s="18" t="n"/>
      <c r="F297" s="17" t="n"/>
      <c r="G297" s="19" t="n"/>
      <c r="H297" s="20">
        <f>IF($A297="","",MONTH($A297)&amp;"/"&amp;YEAR($A297))</f>
        <v/>
      </c>
      <c r="I297" s="21">
        <f>IF($A297="",0,YEAR($A297)*12+MONTH($A297))</f>
        <v/>
      </c>
    </row>
    <row r="298">
      <c r="A298" s="16" t="n"/>
      <c r="B298" s="17" t="n"/>
      <c r="C298" s="17" t="n"/>
      <c r="D298" s="18" t="n"/>
      <c r="E298" s="18" t="n"/>
      <c r="F298" s="17" t="n"/>
      <c r="G298" s="19" t="n"/>
      <c r="H298" s="20">
        <f>IF($A298="","",MONTH($A298)&amp;"/"&amp;YEAR($A298))</f>
        <v/>
      </c>
      <c r="I298" s="21">
        <f>IF($A298="",0,YEAR($A298)*12+MONTH($A298))</f>
        <v/>
      </c>
    </row>
    <row r="299">
      <c r="A299" s="16" t="n"/>
      <c r="B299" s="17" t="n"/>
      <c r="C299" s="17" t="n"/>
      <c r="D299" s="18" t="n"/>
      <c r="E299" s="18" t="n"/>
      <c r="F299" s="17" t="n"/>
      <c r="G299" s="19" t="n"/>
      <c r="H299" s="20">
        <f>IF($A299="","",MONTH($A299)&amp;"/"&amp;YEAR($A299))</f>
        <v/>
      </c>
      <c r="I299" s="21">
        <f>IF($A299="",0,YEAR($A299)*12+MONTH($A299))</f>
        <v/>
      </c>
    </row>
    <row r="300">
      <c r="A300" s="16" t="n"/>
      <c r="B300" s="17" t="n"/>
      <c r="C300" s="17" t="n"/>
      <c r="D300" s="18" t="n"/>
      <c r="E300" s="18" t="n"/>
      <c r="F300" s="17" t="n"/>
      <c r="G300" s="19" t="n"/>
      <c r="H300" s="20">
        <f>IF($A300="","",MONTH($A300)&amp;"/"&amp;YEAR($A300))</f>
        <v/>
      </c>
      <c r="I300" s="21">
        <f>IF($A300="",0,YEAR($A300)*12+MONTH($A300))</f>
        <v/>
      </c>
    </row>
    <row r="301">
      <c r="A301" s="16" t="n"/>
      <c r="B301" s="17" t="n"/>
      <c r="C301" s="17" t="n"/>
      <c r="D301" s="18" t="n"/>
      <c r="E301" s="18" t="n"/>
      <c r="F301" s="17" t="n"/>
      <c r="G301" s="19" t="n"/>
      <c r="H301" s="20">
        <f>IF($A301="","",MONTH($A301)&amp;"/"&amp;YEAR($A301))</f>
        <v/>
      </c>
      <c r="I301" s="21">
        <f>IF($A301="",0,YEAR($A301)*12+MONTH($A301))</f>
        <v/>
      </c>
    </row>
    <row r="302">
      <c r="A302" s="16" t="n"/>
      <c r="B302" s="17" t="n"/>
      <c r="C302" s="17" t="n"/>
      <c r="D302" s="18" t="n"/>
      <c r="E302" s="18" t="n"/>
      <c r="F302" s="17" t="n"/>
      <c r="G302" s="19" t="n"/>
      <c r="H302" s="20">
        <f>IF($A302="","",MONTH($A302)&amp;"/"&amp;YEAR($A302))</f>
        <v/>
      </c>
      <c r="I302" s="21">
        <f>IF($A302="",0,YEAR($A302)*12+MONTH($A302))</f>
        <v/>
      </c>
    </row>
    <row r="303">
      <c r="A303" s="16" t="n"/>
      <c r="B303" s="17" t="n"/>
      <c r="C303" s="17" t="n"/>
      <c r="D303" s="18" t="n"/>
      <c r="E303" s="18" t="n"/>
      <c r="F303" s="17" t="n"/>
      <c r="G303" s="19" t="n"/>
      <c r="H303" s="20">
        <f>IF($A303="","",MONTH($A303)&amp;"/"&amp;YEAR($A303))</f>
        <v/>
      </c>
      <c r="I303" s="21">
        <f>IF($A303="",0,YEAR($A303)*12+MONTH($A303))</f>
        <v/>
      </c>
    </row>
    <row r="304">
      <c r="A304" s="16" t="n"/>
      <c r="B304" s="17" t="n"/>
      <c r="C304" s="17" t="n"/>
      <c r="D304" s="18" t="n"/>
      <c r="E304" s="18" t="n"/>
      <c r="F304" s="17" t="n"/>
      <c r="G304" s="19" t="n"/>
      <c r="H304" s="20">
        <f>IF($A304="","",MONTH($A304)&amp;"/"&amp;YEAR($A304))</f>
        <v/>
      </c>
      <c r="I304" s="21">
        <f>IF($A304="",0,YEAR($A304)*12+MONTH($A304))</f>
        <v/>
      </c>
    </row>
    <row r="305">
      <c r="A305" s="16" t="n"/>
      <c r="B305" s="17" t="n"/>
      <c r="C305" s="17" t="n"/>
      <c r="D305" s="18" t="n"/>
      <c r="E305" s="18" t="n"/>
      <c r="F305" s="17" t="n"/>
      <c r="G305" s="19" t="n"/>
      <c r="H305" s="20">
        <f>IF($A305="","",MONTH($A305)&amp;"/"&amp;YEAR($A305))</f>
        <v/>
      </c>
      <c r="I305" s="21">
        <f>IF($A305="",0,YEAR($A305)*12+MONTH($A305))</f>
        <v/>
      </c>
    </row>
    <row r="306">
      <c r="A306" s="16" t="n"/>
      <c r="B306" s="17" t="n"/>
      <c r="C306" s="17" t="n"/>
      <c r="D306" s="18" t="n"/>
      <c r="E306" s="18" t="n"/>
      <c r="F306" s="17" t="n"/>
      <c r="G306" s="19" t="n"/>
      <c r="H306" s="20">
        <f>IF($A306="","",MONTH($A306)&amp;"/"&amp;YEAR($A306))</f>
        <v/>
      </c>
      <c r="I306" s="21">
        <f>IF($A306="",0,YEAR($A306)*12+MONTH($A306))</f>
        <v/>
      </c>
    </row>
    <row r="307">
      <c r="A307" s="16" t="n"/>
      <c r="B307" s="17" t="n"/>
      <c r="C307" s="17" t="n"/>
      <c r="D307" s="18" t="n"/>
      <c r="E307" s="18" t="n"/>
      <c r="F307" s="17" t="n"/>
      <c r="G307" s="19" t="n"/>
      <c r="H307" s="20">
        <f>IF($A307="","",MONTH($A307)&amp;"/"&amp;YEAR($A307))</f>
        <v/>
      </c>
      <c r="I307" s="21">
        <f>IF($A307="",0,YEAR($A307)*12+MONTH($A307))</f>
        <v/>
      </c>
    </row>
    <row r="308">
      <c r="A308" s="16" t="n"/>
      <c r="B308" s="17" t="n"/>
      <c r="C308" s="17" t="n"/>
      <c r="D308" s="18" t="n"/>
      <c r="E308" s="18" t="n"/>
      <c r="F308" s="17" t="n"/>
      <c r="G308" s="19" t="n"/>
      <c r="H308" s="20">
        <f>IF($A308="","",MONTH($A308)&amp;"/"&amp;YEAR($A308))</f>
        <v/>
      </c>
      <c r="I308" s="21">
        <f>IF($A308="",0,YEAR($A308)*12+MONTH($A308))</f>
        <v/>
      </c>
    </row>
    <row r="309">
      <c r="A309" s="16" t="n"/>
      <c r="B309" s="17" t="n"/>
      <c r="C309" s="17" t="n"/>
      <c r="D309" s="18" t="n"/>
      <c r="E309" s="18" t="n"/>
      <c r="F309" s="17" t="n"/>
      <c r="G309" s="19" t="n"/>
      <c r="H309" s="20">
        <f>IF($A309="","",MONTH($A309)&amp;"/"&amp;YEAR($A309))</f>
        <v/>
      </c>
      <c r="I309" s="21">
        <f>IF($A309="",0,YEAR($A309)*12+MONTH($A309))</f>
        <v/>
      </c>
    </row>
    <row r="310">
      <c r="A310" s="16" t="n"/>
      <c r="B310" s="17" t="n"/>
      <c r="C310" s="17" t="n"/>
      <c r="D310" s="18" t="n"/>
      <c r="E310" s="18" t="n"/>
      <c r="F310" s="17" t="n"/>
      <c r="G310" s="19" t="n"/>
      <c r="H310" s="20">
        <f>IF($A310="","",MONTH($A310)&amp;"/"&amp;YEAR($A310))</f>
        <v/>
      </c>
      <c r="I310" s="21">
        <f>IF($A310="",0,YEAR($A310)*12+MONTH($A310))</f>
        <v/>
      </c>
    </row>
    <row r="311">
      <c r="A311" s="16" t="n"/>
      <c r="B311" s="17" t="n"/>
      <c r="C311" s="17" t="n"/>
      <c r="D311" s="18" t="n"/>
      <c r="E311" s="18" t="n"/>
      <c r="F311" s="17" t="n"/>
      <c r="G311" s="19" t="n"/>
      <c r="H311" s="20">
        <f>IF($A311="","",MONTH($A311)&amp;"/"&amp;YEAR($A311))</f>
        <v/>
      </c>
      <c r="I311" s="21">
        <f>IF($A311="",0,YEAR($A311)*12+MONTH($A311))</f>
        <v/>
      </c>
    </row>
    <row r="312">
      <c r="A312" s="16" t="n"/>
      <c r="B312" s="17" t="n"/>
      <c r="C312" s="17" t="n"/>
      <c r="D312" s="18" t="n"/>
      <c r="E312" s="18" t="n"/>
      <c r="F312" s="17" t="n"/>
      <c r="G312" s="19" t="n"/>
      <c r="H312" s="20">
        <f>IF($A312="","",MONTH($A312)&amp;"/"&amp;YEAR($A312))</f>
        <v/>
      </c>
      <c r="I312" s="21">
        <f>IF($A312="",0,YEAR($A312)*12+MONTH($A312))</f>
        <v/>
      </c>
    </row>
    <row r="313">
      <c r="A313" s="16" t="n"/>
      <c r="B313" s="17" t="n"/>
      <c r="C313" s="17" t="n"/>
      <c r="D313" s="18" t="n"/>
      <c r="E313" s="18" t="n"/>
      <c r="F313" s="17" t="n"/>
      <c r="G313" s="19" t="n"/>
      <c r="H313" s="20">
        <f>IF($A313="","",MONTH($A313)&amp;"/"&amp;YEAR($A313))</f>
        <v/>
      </c>
      <c r="I313" s="21">
        <f>IF($A313="",0,YEAR($A313)*12+MONTH($A313))</f>
        <v/>
      </c>
    </row>
    <row r="314">
      <c r="A314" s="16" t="n"/>
      <c r="B314" s="17" t="n"/>
      <c r="C314" s="17" t="n"/>
      <c r="D314" s="18" t="n"/>
      <c r="E314" s="18" t="n"/>
      <c r="F314" s="17" t="n"/>
      <c r="G314" s="19" t="n"/>
      <c r="H314" s="20">
        <f>IF($A314="","",MONTH($A314)&amp;"/"&amp;YEAR($A314))</f>
        <v/>
      </c>
      <c r="I314" s="21">
        <f>IF($A314="",0,YEAR($A314)*12+MONTH($A314))</f>
        <v/>
      </c>
    </row>
    <row r="315">
      <c r="A315" s="16" t="n"/>
      <c r="B315" s="17" t="n"/>
      <c r="C315" s="17" t="n"/>
      <c r="D315" s="18" t="n"/>
      <c r="E315" s="18" t="n"/>
      <c r="F315" s="17" t="n"/>
      <c r="G315" s="19" t="n"/>
      <c r="H315" s="20">
        <f>IF($A315="","",MONTH($A315)&amp;"/"&amp;YEAR($A315))</f>
        <v/>
      </c>
      <c r="I315" s="21">
        <f>IF($A315="",0,YEAR($A315)*12+MONTH($A315))</f>
        <v/>
      </c>
    </row>
    <row r="316">
      <c r="A316" s="16" t="n"/>
      <c r="B316" s="17" t="n"/>
      <c r="C316" s="17" t="n"/>
      <c r="D316" s="18" t="n"/>
      <c r="E316" s="18" t="n"/>
      <c r="F316" s="17" t="n"/>
      <c r="G316" s="19" t="n"/>
      <c r="H316" s="20">
        <f>IF($A316="","",MONTH($A316)&amp;"/"&amp;YEAR($A316))</f>
        <v/>
      </c>
      <c r="I316" s="21">
        <f>IF($A316="",0,YEAR($A316)*12+MONTH($A316))</f>
        <v/>
      </c>
    </row>
    <row r="317">
      <c r="A317" s="16" t="n"/>
      <c r="B317" s="17" t="n"/>
      <c r="C317" s="17" t="n"/>
      <c r="D317" s="18" t="n"/>
      <c r="E317" s="18" t="n"/>
      <c r="F317" s="17" t="n"/>
      <c r="G317" s="19" t="n"/>
      <c r="H317" s="20">
        <f>IF($A317="","",MONTH($A317)&amp;"/"&amp;YEAR($A317))</f>
        <v/>
      </c>
      <c r="I317" s="21">
        <f>IF($A317="",0,YEAR($A317)*12+MONTH($A317))</f>
        <v/>
      </c>
    </row>
    <row r="318">
      <c r="A318" s="16" t="n"/>
      <c r="B318" s="17" t="n"/>
      <c r="C318" s="17" t="n"/>
      <c r="D318" s="18" t="n"/>
      <c r="E318" s="18" t="n"/>
      <c r="F318" s="17" t="n"/>
      <c r="G318" s="19" t="n"/>
      <c r="H318" s="20">
        <f>IF($A318="","",MONTH($A318)&amp;"/"&amp;YEAR($A318))</f>
        <v/>
      </c>
      <c r="I318" s="21">
        <f>IF($A318="",0,YEAR($A318)*12+MONTH($A318))</f>
        <v/>
      </c>
    </row>
    <row r="319">
      <c r="A319" s="16" t="n"/>
      <c r="B319" s="17" t="n"/>
      <c r="C319" s="17" t="n"/>
      <c r="D319" s="18" t="n"/>
      <c r="E319" s="18" t="n"/>
      <c r="F319" s="17" t="n"/>
      <c r="G319" s="19" t="n"/>
      <c r="H319" s="20">
        <f>IF($A319="","",MONTH($A319)&amp;"/"&amp;YEAR($A319))</f>
        <v/>
      </c>
      <c r="I319" s="21">
        <f>IF($A319="",0,YEAR($A319)*12+MONTH($A319))</f>
        <v/>
      </c>
    </row>
    <row r="320">
      <c r="A320" s="16" t="n"/>
      <c r="B320" s="17" t="n"/>
      <c r="C320" s="17" t="n"/>
      <c r="D320" s="18" t="n"/>
      <c r="E320" s="18" t="n"/>
      <c r="F320" s="17" t="n"/>
      <c r="G320" s="19" t="n"/>
      <c r="H320" s="20">
        <f>IF($A320="","",MONTH($A320)&amp;"/"&amp;YEAR($A320))</f>
        <v/>
      </c>
      <c r="I320" s="21">
        <f>IF($A320="",0,YEAR($A320)*12+MONTH($A320))</f>
        <v/>
      </c>
    </row>
    <row r="321">
      <c r="A321" s="16" t="n"/>
      <c r="B321" s="17" t="n"/>
      <c r="C321" s="17" t="n"/>
      <c r="D321" s="18" t="n"/>
      <c r="E321" s="18" t="n"/>
      <c r="F321" s="17" t="n"/>
      <c r="G321" s="19" t="n"/>
      <c r="H321" s="20">
        <f>IF($A321="","",MONTH($A321)&amp;"/"&amp;YEAR($A321))</f>
        <v/>
      </c>
      <c r="I321" s="21">
        <f>IF($A321="",0,YEAR($A321)*12+MONTH($A321))</f>
        <v/>
      </c>
    </row>
    <row r="322">
      <c r="A322" s="16" t="n"/>
      <c r="B322" s="17" t="n"/>
      <c r="C322" s="17" t="n"/>
      <c r="D322" s="18" t="n"/>
      <c r="E322" s="18" t="n"/>
      <c r="F322" s="17" t="n"/>
      <c r="G322" s="19" t="n"/>
      <c r="H322" s="20">
        <f>IF($A322="","",MONTH($A322)&amp;"/"&amp;YEAR($A322))</f>
        <v/>
      </c>
      <c r="I322" s="21">
        <f>IF($A322="",0,YEAR($A322)*12+MONTH($A322))</f>
        <v/>
      </c>
    </row>
    <row r="323">
      <c r="A323" s="16" t="n"/>
      <c r="B323" s="17" t="n"/>
      <c r="C323" s="17" t="n"/>
      <c r="D323" s="18" t="n"/>
      <c r="E323" s="18" t="n"/>
      <c r="F323" s="17" t="n"/>
      <c r="G323" s="19" t="n"/>
      <c r="H323" s="20">
        <f>IF($A323="","",MONTH($A323)&amp;"/"&amp;YEAR($A323))</f>
        <v/>
      </c>
      <c r="I323" s="21">
        <f>IF($A323="",0,YEAR($A323)*12+MONTH($A323))</f>
        <v/>
      </c>
    </row>
    <row r="324">
      <c r="A324" s="16" t="n"/>
      <c r="B324" s="17" t="n"/>
      <c r="C324" s="17" t="n"/>
      <c r="D324" s="18" t="n"/>
      <c r="E324" s="18" t="n"/>
      <c r="F324" s="17" t="n"/>
      <c r="G324" s="19" t="n"/>
      <c r="H324" s="20">
        <f>IF($A324="","",MONTH($A324)&amp;"/"&amp;YEAR($A324))</f>
        <v/>
      </c>
      <c r="I324" s="21">
        <f>IF($A324="",0,YEAR($A324)*12+MONTH($A324))</f>
        <v/>
      </c>
    </row>
    <row r="325">
      <c r="A325" s="16" t="n"/>
      <c r="B325" s="17" t="n"/>
      <c r="C325" s="17" t="n"/>
      <c r="D325" s="18" t="n"/>
      <c r="E325" s="18" t="n"/>
      <c r="F325" s="17" t="n"/>
      <c r="G325" s="19" t="n"/>
      <c r="H325" s="20">
        <f>IF($A325="","",MONTH($A325)&amp;"/"&amp;YEAR($A325))</f>
        <v/>
      </c>
      <c r="I325" s="21">
        <f>IF($A325="",0,YEAR($A325)*12+MONTH($A325))</f>
        <v/>
      </c>
    </row>
    <row r="326">
      <c r="A326" s="16" t="n"/>
      <c r="B326" s="17" t="n"/>
      <c r="C326" s="17" t="n"/>
      <c r="D326" s="18" t="n"/>
      <c r="E326" s="18" t="n"/>
      <c r="F326" s="17" t="n"/>
      <c r="G326" s="19" t="n"/>
      <c r="H326" s="20">
        <f>IF($A326="","",MONTH($A326)&amp;"/"&amp;YEAR($A326))</f>
        <v/>
      </c>
      <c r="I326" s="21">
        <f>IF($A326="",0,YEAR($A326)*12+MONTH($A326))</f>
        <v/>
      </c>
    </row>
    <row r="327">
      <c r="A327" s="16" t="n"/>
      <c r="B327" s="17" t="n"/>
      <c r="C327" s="17" t="n"/>
      <c r="D327" s="18" t="n"/>
      <c r="E327" s="18" t="n"/>
      <c r="F327" s="17" t="n"/>
      <c r="G327" s="19" t="n"/>
      <c r="H327" s="20">
        <f>IF($A327="","",MONTH($A327)&amp;"/"&amp;YEAR($A327))</f>
        <v/>
      </c>
      <c r="I327" s="21">
        <f>IF($A327="",0,YEAR($A327)*12+MONTH($A327))</f>
        <v/>
      </c>
    </row>
    <row r="328">
      <c r="A328" s="16" t="n"/>
      <c r="B328" s="17" t="n"/>
      <c r="C328" s="17" t="n"/>
      <c r="D328" s="18" t="n"/>
      <c r="E328" s="18" t="n"/>
      <c r="F328" s="17" t="n"/>
      <c r="G328" s="19" t="n"/>
      <c r="H328" s="20">
        <f>IF($A328="","",MONTH($A328)&amp;"/"&amp;YEAR($A328))</f>
        <v/>
      </c>
      <c r="I328" s="21">
        <f>IF($A328="",0,YEAR($A328)*12+MONTH($A328))</f>
        <v/>
      </c>
    </row>
    <row r="329">
      <c r="A329" s="16" t="n"/>
      <c r="B329" s="17" t="n"/>
      <c r="C329" s="17" t="n"/>
      <c r="D329" s="18" t="n"/>
      <c r="E329" s="18" t="n"/>
      <c r="F329" s="17" t="n"/>
      <c r="G329" s="19" t="n"/>
      <c r="H329" s="20">
        <f>IF($A329="","",MONTH($A329)&amp;"/"&amp;YEAR($A329))</f>
        <v/>
      </c>
      <c r="I329" s="21">
        <f>IF($A329="",0,YEAR($A329)*12+MONTH($A329))</f>
        <v/>
      </c>
    </row>
    <row r="330">
      <c r="A330" s="16" t="n"/>
      <c r="B330" s="17" t="n"/>
      <c r="C330" s="17" t="n"/>
      <c r="D330" s="18" t="n"/>
      <c r="E330" s="18" t="n"/>
      <c r="F330" s="17" t="n"/>
      <c r="G330" s="19" t="n"/>
      <c r="H330" s="20">
        <f>IF($A330="","",MONTH($A330)&amp;"/"&amp;YEAR($A330))</f>
        <v/>
      </c>
      <c r="I330" s="21">
        <f>IF($A330="",0,YEAR($A330)*12+MONTH($A330))</f>
        <v/>
      </c>
    </row>
    <row r="331">
      <c r="A331" s="16" t="n"/>
      <c r="B331" s="17" t="n"/>
      <c r="C331" s="17" t="n"/>
      <c r="D331" s="18" t="n"/>
      <c r="E331" s="18" t="n"/>
      <c r="F331" s="17" t="n"/>
      <c r="G331" s="19" t="n"/>
      <c r="H331" s="20">
        <f>IF($A331="","",MONTH($A331)&amp;"/"&amp;YEAR($A331))</f>
        <v/>
      </c>
      <c r="I331" s="21">
        <f>IF($A331="",0,YEAR($A331)*12+MONTH($A331))</f>
        <v/>
      </c>
    </row>
    <row r="332">
      <c r="A332" s="16" t="n"/>
      <c r="B332" s="17" t="n"/>
      <c r="C332" s="17" t="n"/>
      <c r="D332" s="18" t="n"/>
      <c r="E332" s="18" t="n"/>
      <c r="F332" s="17" t="n"/>
      <c r="G332" s="19" t="n"/>
      <c r="H332" s="20">
        <f>IF($A332="","",MONTH($A332)&amp;"/"&amp;YEAR($A332))</f>
        <v/>
      </c>
      <c r="I332" s="21">
        <f>IF($A332="",0,YEAR($A332)*12+MONTH($A332))</f>
        <v/>
      </c>
    </row>
    <row r="333">
      <c r="A333" s="16" t="n"/>
      <c r="B333" s="17" t="n"/>
      <c r="C333" s="17" t="n"/>
      <c r="D333" s="18" t="n"/>
      <c r="E333" s="18" t="n"/>
      <c r="F333" s="17" t="n"/>
      <c r="G333" s="19" t="n"/>
      <c r="H333" s="20">
        <f>IF($A333="","",MONTH($A333)&amp;"/"&amp;YEAR($A333))</f>
        <v/>
      </c>
      <c r="I333" s="21">
        <f>IF($A333="",0,YEAR($A333)*12+MONTH($A333))</f>
        <v/>
      </c>
    </row>
    <row r="334">
      <c r="A334" s="16" t="n"/>
      <c r="B334" s="17" t="n"/>
      <c r="C334" s="17" t="n"/>
      <c r="D334" s="18" t="n"/>
      <c r="E334" s="18" t="n"/>
      <c r="F334" s="17" t="n"/>
      <c r="G334" s="19" t="n"/>
      <c r="H334" s="20">
        <f>IF($A334="","",MONTH($A334)&amp;"/"&amp;YEAR($A334))</f>
        <v/>
      </c>
      <c r="I334" s="21">
        <f>IF($A334="",0,YEAR($A334)*12+MONTH($A334))</f>
        <v/>
      </c>
    </row>
    <row r="335">
      <c r="A335" s="16" t="n"/>
      <c r="B335" s="17" t="n"/>
      <c r="C335" s="17" t="n"/>
      <c r="D335" s="18" t="n"/>
      <c r="E335" s="18" t="n"/>
      <c r="F335" s="17" t="n"/>
      <c r="G335" s="19" t="n"/>
      <c r="H335" s="20">
        <f>IF($A335="","",MONTH($A335)&amp;"/"&amp;YEAR($A335))</f>
        <v/>
      </c>
      <c r="I335" s="21">
        <f>IF($A335="",0,YEAR($A335)*12+MONTH($A335))</f>
        <v/>
      </c>
    </row>
    <row r="336">
      <c r="A336" s="16" t="n"/>
      <c r="B336" s="17" t="n"/>
      <c r="C336" s="17" t="n"/>
      <c r="D336" s="18" t="n"/>
      <c r="E336" s="18" t="n"/>
      <c r="F336" s="17" t="n"/>
      <c r="G336" s="19" t="n"/>
      <c r="H336" s="20">
        <f>IF($A336="","",MONTH($A336)&amp;"/"&amp;YEAR($A336))</f>
        <v/>
      </c>
      <c r="I336" s="21">
        <f>IF($A336="",0,YEAR($A336)*12+MONTH($A336))</f>
        <v/>
      </c>
    </row>
    <row r="337">
      <c r="A337" s="16" t="n"/>
      <c r="B337" s="17" t="n"/>
      <c r="C337" s="17" t="n"/>
      <c r="D337" s="18" t="n"/>
      <c r="E337" s="18" t="n"/>
      <c r="F337" s="17" t="n"/>
      <c r="G337" s="19" t="n"/>
      <c r="H337" s="20">
        <f>IF($A337="","",MONTH($A337)&amp;"/"&amp;YEAR($A337))</f>
        <v/>
      </c>
      <c r="I337" s="21">
        <f>IF($A337="",0,YEAR($A337)*12+MONTH($A337))</f>
        <v/>
      </c>
    </row>
    <row r="338">
      <c r="A338" s="16" t="n"/>
      <c r="B338" s="17" t="n"/>
      <c r="C338" s="17" t="n"/>
      <c r="D338" s="18" t="n"/>
      <c r="E338" s="18" t="n"/>
      <c r="F338" s="17" t="n"/>
      <c r="G338" s="19" t="n"/>
      <c r="H338" s="20">
        <f>IF($A338="","",MONTH($A338)&amp;"/"&amp;YEAR($A338))</f>
        <v/>
      </c>
      <c r="I338" s="21">
        <f>IF($A338="",0,YEAR($A338)*12+MONTH($A338))</f>
        <v/>
      </c>
    </row>
    <row r="339">
      <c r="A339" s="16" t="n"/>
      <c r="B339" s="17" t="n"/>
      <c r="C339" s="17" t="n"/>
      <c r="D339" s="18" t="n"/>
      <c r="E339" s="18" t="n"/>
      <c r="F339" s="17" t="n"/>
      <c r="G339" s="19" t="n"/>
      <c r="H339" s="20">
        <f>IF($A339="","",MONTH($A339)&amp;"/"&amp;YEAR($A339))</f>
        <v/>
      </c>
      <c r="I339" s="21">
        <f>IF($A339="",0,YEAR($A339)*12+MONTH($A339))</f>
        <v/>
      </c>
    </row>
    <row r="340">
      <c r="A340" s="16" t="n"/>
      <c r="B340" s="17" t="n"/>
      <c r="C340" s="17" t="n"/>
      <c r="D340" s="18" t="n"/>
      <c r="E340" s="18" t="n"/>
      <c r="F340" s="17" t="n"/>
      <c r="G340" s="19" t="n"/>
      <c r="H340" s="20">
        <f>IF($A340="","",MONTH($A340)&amp;"/"&amp;YEAR($A340))</f>
        <v/>
      </c>
      <c r="I340" s="21">
        <f>IF($A340="",0,YEAR($A340)*12+MONTH($A340))</f>
        <v/>
      </c>
    </row>
    <row r="341">
      <c r="A341" s="16" t="n"/>
      <c r="B341" s="17" t="n"/>
      <c r="C341" s="17" t="n"/>
      <c r="D341" s="18" t="n"/>
      <c r="E341" s="18" t="n"/>
      <c r="F341" s="17" t="n"/>
      <c r="G341" s="19" t="n"/>
      <c r="H341" s="20">
        <f>IF($A341="","",MONTH($A341)&amp;"/"&amp;YEAR($A341))</f>
        <v/>
      </c>
      <c r="I341" s="21">
        <f>IF($A341="",0,YEAR($A341)*12+MONTH($A341))</f>
        <v/>
      </c>
    </row>
    <row r="342">
      <c r="A342" s="16" t="n"/>
      <c r="B342" s="17" t="n"/>
      <c r="C342" s="17" t="n"/>
      <c r="D342" s="18" t="n"/>
      <c r="E342" s="18" t="n"/>
      <c r="F342" s="17" t="n"/>
      <c r="G342" s="19" t="n"/>
      <c r="H342" s="20">
        <f>IF($A342="","",MONTH($A342)&amp;"/"&amp;YEAR($A342))</f>
        <v/>
      </c>
      <c r="I342" s="21">
        <f>IF($A342="",0,YEAR($A342)*12+MONTH($A342))</f>
        <v/>
      </c>
    </row>
    <row r="343">
      <c r="A343" s="16" t="n"/>
      <c r="B343" s="17" t="n"/>
      <c r="C343" s="17" t="n"/>
      <c r="D343" s="18" t="n"/>
      <c r="E343" s="18" t="n"/>
      <c r="F343" s="17" t="n"/>
      <c r="G343" s="19" t="n"/>
      <c r="H343" s="20">
        <f>IF($A343="","",MONTH($A343)&amp;"/"&amp;YEAR($A343))</f>
        <v/>
      </c>
      <c r="I343" s="21">
        <f>IF($A343="",0,YEAR($A343)*12+MONTH($A343))</f>
        <v/>
      </c>
    </row>
    <row r="344">
      <c r="A344" s="16" t="n"/>
      <c r="B344" s="17" t="n"/>
      <c r="C344" s="17" t="n"/>
      <c r="D344" s="18" t="n"/>
      <c r="E344" s="18" t="n"/>
      <c r="F344" s="17" t="n"/>
      <c r="G344" s="19" t="n"/>
      <c r="H344" s="20">
        <f>IF($A344="","",MONTH($A344)&amp;"/"&amp;YEAR($A344))</f>
        <v/>
      </c>
      <c r="I344" s="21">
        <f>IF($A344="",0,YEAR($A344)*12+MONTH($A344))</f>
        <v/>
      </c>
    </row>
    <row r="345">
      <c r="A345" s="16" t="n"/>
      <c r="B345" s="17" t="n"/>
      <c r="C345" s="17" t="n"/>
      <c r="D345" s="18" t="n"/>
      <c r="E345" s="18" t="n"/>
      <c r="F345" s="17" t="n"/>
      <c r="G345" s="19" t="n"/>
      <c r="H345" s="20">
        <f>IF($A345="","",MONTH($A345)&amp;"/"&amp;YEAR($A345))</f>
        <v/>
      </c>
      <c r="I345" s="21">
        <f>IF($A345="",0,YEAR($A345)*12+MONTH($A345))</f>
        <v/>
      </c>
    </row>
    <row r="346">
      <c r="A346" s="16" t="n"/>
      <c r="B346" s="17" t="n"/>
      <c r="C346" s="17" t="n"/>
      <c r="D346" s="18" t="n"/>
      <c r="E346" s="18" t="n"/>
      <c r="F346" s="17" t="n"/>
      <c r="G346" s="19" t="n"/>
      <c r="H346" s="20">
        <f>IF($A346="","",MONTH($A346)&amp;"/"&amp;YEAR($A346))</f>
        <v/>
      </c>
      <c r="I346" s="21">
        <f>IF($A346="",0,YEAR($A346)*12+MONTH($A346))</f>
        <v/>
      </c>
    </row>
    <row r="347">
      <c r="A347" s="16" t="n"/>
      <c r="B347" s="17" t="n"/>
      <c r="C347" s="17" t="n"/>
      <c r="D347" s="18" t="n"/>
      <c r="E347" s="18" t="n"/>
      <c r="F347" s="17" t="n"/>
      <c r="G347" s="19" t="n"/>
      <c r="H347" s="20">
        <f>IF($A347="","",MONTH($A347)&amp;"/"&amp;YEAR($A347))</f>
        <v/>
      </c>
      <c r="I347" s="21">
        <f>IF($A347="",0,YEAR($A347)*12+MONTH($A347))</f>
        <v/>
      </c>
    </row>
    <row r="348">
      <c r="A348" s="16" t="n"/>
      <c r="B348" s="17" t="n"/>
      <c r="C348" s="17" t="n"/>
      <c r="D348" s="18" t="n"/>
      <c r="E348" s="18" t="n"/>
      <c r="F348" s="17" t="n"/>
      <c r="G348" s="19" t="n"/>
      <c r="H348" s="20">
        <f>IF($A348="","",MONTH($A348)&amp;"/"&amp;YEAR($A348))</f>
        <v/>
      </c>
      <c r="I348" s="21">
        <f>IF($A348="",0,YEAR($A348)*12+MONTH($A348))</f>
        <v/>
      </c>
    </row>
    <row r="349">
      <c r="A349" s="16" t="n"/>
      <c r="B349" s="17" t="n"/>
      <c r="C349" s="17" t="n"/>
      <c r="D349" s="18" t="n"/>
      <c r="E349" s="18" t="n"/>
      <c r="F349" s="17" t="n"/>
      <c r="G349" s="19" t="n"/>
      <c r="H349" s="20">
        <f>IF($A349="","",MONTH($A349)&amp;"/"&amp;YEAR($A349))</f>
        <v/>
      </c>
      <c r="I349" s="21">
        <f>IF($A349="",0,YEAR($A349)*12+MONTH($A349))</f>
        <v/>
      </c>
    </row>
    <row r="350">
      <c r="A350" s="16" t="n"/>
      <c r="B350" s="17" t="n"/>
      <c r="C350" s="17" t="n"/>
      <c r="D350" s="18" t="n"/>
      <c r="E350" s="18" t="n"/>
      <c r="F350" s="17" t="n"/>
      <c r="G350" s="19" t="n"/>
      <c r="H350" s="20">
        <f>IF($A350="","",MONTH($A350)&amp;"/"&amp;YEAR($A350))</f>
        <v/>
      </c>
      <c r="I350" s="21">
        <f>IF($A350="",0,YEAR($A350)*12+MONTH($A350))</f>
        <v/>
      </c>
    </row>
    <row r="351">
      <c r="A351" s="16" t="n"/>
      <c r="B351" s="17" t="n"/>
      <c r="C351" s="17" t="n"/>
      <c r="D351" s="18" t="n"/>
      <c r="E351" s="18" t="n"/>
      <c r="F351" s="17" t="n"/>
      <c r="G351" s="19" t="n"/>
      <c r="H351" s="20">
        <f>IF($A351="","",MONTH($A351)&amp;"/"&amp;YEAR($A351))</f>
        <v/>
      </c>
      <c r="I351" s="21">
        <f>IF($A351="",0,YEAR($A351)*12+MONTH($A351))</f>
        <v/>
      </c>
    </row>
    <row r="352">
      <c r="A352" s="16" t="n"/>
      <c r="B352" s="17" t="n"/>
      <c r="C352" s="17" t="n"/>
      <c r="D352" s="18" t="n"/>
      <c r="E352" s="18" t="n"/>
      <c r="F352" s="17" t="n"/>
      <c r="G352" s="19" t="n"/>
      <c r="H352" s="20">
        <f>IF($A352="","",MONTH($A352)&amp;"/"&amp;YEAR($A352))</f>
        <v/>
      </c>
      <c r="I352" s="21">
        <f>IF($A352="",0,YEAR($A352)*12+MONTH($A352))</f>
        <v/>
      </c>
    </row>
    <row r="353">
      <c r="A353" s="16" t="n"/>
      <c r="B353" s="17" t="n"/>
      <c r="C353" s="17" t="n"/>
      <c r="D353" s="18" t="n"/>
      <c r="E353" s="18" t="n"/>
      <c r="F353" s="17" t="n"/>
      <c r="G353" s="19" t="n"/>
      <c r="H353" s="20">
        <f>IF($A353="","",MONTH($A353)&amp;"/"&amp;YEAR($A353))</f>
        <v/>
      </c>
      <c r="I353" s="21">
        <f>IF($A353="",0,YEAR($A353)*12+MONTH($A353))</f>
        <v/>
      </c>
    </row>
    <row r="354">
      <c r="A354" s="16" t="n"/>
      <c r="B354" s="17" t="n"/>
      <c r="C354" s="17" t="n"/>
      <c r="D354" s="18" t="n"/>
      <c r="E354" s="18" t="n"/>
      <c r="F354" s="17" t="n"/>
      <c r="G354" s="19" t="n"/>
      <c r="H354" s="20">
        <f>IF($A354="","",MONTH($A354)&amp;"/"&amp;YEAR($A354))</f>
        <v/>
      </c>
      <c r="I354" s="21">
        <f>IF($A354="",0,YEAR($A354)*12+MONTH($A354))</f>
        <v/>
      </c>
    </row>
    <row r="355">
      <c r="A355" s="16" t="n"/>
      <c r="B355" s="17" t="n"/>
      <c r="C355" s="17" t="n"/>
      <c r="D355" s="18" t="n"/>
      <c r="E355" s="18" t="n"/>
      <c r="F355" s="17" t="n"/>
      <c r="G355" s="19" t="n"/>
      <c r="H355" s="20">
        <f>IF($A355="","",MONTH($A355)&amp;"/"&amp;YEAR($A355))</f>
        <v/>
      </c>
      <c r="I355" s="21">
        <f>IF($A355="",0,YEAR($A355)*12+MONTH($A355))</f>
        <v/>
      </c>
    </row>
    <row r="356">
      <c r="A356" s="16" t="n"/>
      <c r="B356" s="17" t="n"/>
      <c r="C356" s="17" t="n"/>
      <c r="D356" s="18" t="n"/>
      <c r="E356" s="18" t="n"/>
      <c r="F356" s="17" t="n"/>
      <c r="G356" s="19" t="n"/>
      <c r="H356" s="20">
        <f>IF($A356="","",MONTH($A356)&amp;"/"&amp;YEAR($A356))</f>
        <v/>
      </c>
      <c r="I356" s="21">
        <f>IF($A356="",0,YEAR($A356)*12+MONTH($A356))</f>
        <v/>
      </c>
    </row>
    <row r="357">
      <c r="A357" s="16" t="n"/>
      <c r="B357" s="17" t="n"/>
      <c r="C357" s="17" t="n"/>
      <c r="D357" s="18" t="n"/>
      <c r="E357" s="18" t="n"/>
      <c r="F357" s="17" t="n"/>
      <c r="G357" s="19" t="n"/>
      <c r="H357" s="20">
        <f>IF($A357="","",MONTH($A357)&amp;"/"&amp;YEAR($A357))</f>
        <v/>
      </c>
      <c r="I357" s="21">
        <f>IF($A357="",0,YEAR($A357)*12+MONTH($A357))</f>
        <v/>
      </c>
    </row>
    <row r="358">
      <c r="A358" s="16" t="n"/>
      <c r="B358" s="17" t="n"/>
      <c r="C358" s="17" t="n"/>
      <c r="D358" s="18" t="n"/>
      <c r="E358" s="18" t="n"/>
      <c r="F358" s="17" t="n"/>
      <c r="G358" s="19" t="n"/>
      <c r="H358" s="20">
        <f>IF($A358="","",MONTH($A358)&amp;"/"&amp;YEAR($A358))</f>
        <v/>
      </c>
      <c r="I358" s="21">
        <f>IF($A358="",0,YEAR($A358)*12+MONTH($A358))</f>
        <v/>
      </c>
    </row>
    <row r="359">
      <c r="A359" s="16" t="n"/>
      <c r="B359" s="17" t="n"/>
      <c r="C359" s="17" t="n"/>
      <c r="D359" s="18" t="n"/>
      <c r="E359" s="18" t="n"/>
      <c r="F359" s="17" t="n"/>
      <c r="G359" s="19" t="n"/>
      <c r="H359" s="20">
        <f>IF($A359="","",MONTH($A359)&amp;"/"&amp;YEAR($A359))</f>
        <v/>
      </c>
      <c r="I359" s="21">
        <f>IF($A359="",0,YEAR($A359)*12+MONTH($A359))</f>
        <v/>
      </c>
    </row>
    <row r="360">
      <c r="A360" s="16" t="n"/>
      <c r="B360" s="17" t="n"/>
      <c r="C360" s="17" t="n"/>
      <c r="D360" s="18" t="n"/>
      <c r="E360" s="18" t="n"/>
      <c r="F360" s="17" t="n"/>
      <c r="G360" s="19" t="n"/>
      <c r="H360" s="20">
        <f>IF($A360="","",MONTH($A360)&amp;"/"&amp;YEAR($A360))</f>
        <v/>
      </c>
      <c r="I360" s="21">
        <f>IF($A360="",0,YEAR($A360)*12+MONTH($A360))</f>
        <v/>
      </c>
    </row>
    <row r="361">
      <c r="A361" s="16" t="n"/>
      <c r="B361" s="17" t="n"/>
      <c r="C361" s="17" t="n"/>
      <c r="D361" s="18" t="n"/>
      <c r="E361" s="18" t="n"/>
      <c r="F361" s="17" t="n"/>
      <c r="G361" s="19" t="n"/>
      <c r="H361" s="20">
        <f>IF($A361="","",MONTH($A361)&amp;"/"&amp;YEAR($A361))</f>
        <v/>
      </c>
      <c r="I361" s="21">
        <f>IF($A361="",0,YEAR($A361)*12+MONTH($A361))</f>
        <v/>
      </c>
    </row>
    <row r="362">
      <c r="A362" s="16" t="n"/>
      <c r="B362" s="17" t="n"/>
      <c r="C362" s="17" t="n"/>
      <c r="D362" s="18" t="n"/>
      <c r="E362" s="18" t="n"/>
      <c r="F362" s="17" t="n"/>
      <c r="G362" s="19" t="n"/>
      <c r="H362" s="20">
        <f>IF($A362="","",MONTH($A362)&amp;"/"&amp;YEAR($A362))</f>
        <v/>
      </c>
      <c r="I362" s="21">
        <f>IF($A362="",0,YEAR($A362)*12+MONTH($A362))</f>
        <v/>
      </c>
    </row>
    <row r="363">
      <c r="A363" s="16" t="n"/>
      <c r="B363" s="17" t="n"/>
      <c r="C363" s="17" t="n"/>
      <c r="D363" s="18" t="n"/>
      <c r="E363" s="18" t="n"/>
      <c r="F363" s="17" t="n"/>
      <c r="G363" s="19" t="n"/>
      <c r="H363" s="20">
        <f>IF($A363="","",MONTH($A363)&amp;"/"&amp;YEAR($A363))</f>
        <v/>
      </c>
      <c r="I363" s="21">
        <f>IF($A363="",0,YEAR($A363)*12+MONTH($A363))</f>
        <v/>
      </c>
    </row>
    <row r="364">
      <c r="A364" s="16" t="n"/>
      <c r="B364" s="17" t="n"/>
      <c r="C364" s="17" t="n"/>
      <c r="D364" s="18" t="n"/>
      <c r="E364" s="18" t="n"/>
      <c r="F364" s="17" t="n"/>
      <c r="G364" s="19" t="n"/>
      <c r="H364" s="20">
        <f>IF($A364="","",MONTH($A364)&amp;"/"&amp;YEAR($A364))</f>
        <v/>
      </c>
      <c r="I364" s="21">
        <f>IF($A364="",0,YEAR($A364)*12+MONTH($A364))</f>
        <v/>
      </c>
    </row>
    <row r="365">
      <c r="A365" s="16" t="n"/>
      <c r="B365" s="17" t="n"/>
      <c r="C365" s="17" t="n"/>
      <c r="D365" s="18" t="n"/>
      <c r="E365" s="18" t="n"/>
      <c r="F365" s="17" t="n"/>
      <c r="G365" s="19" t="n"/>
      <c r="H365" s="20">
        <f>IF($A365="","",MONTH($A365)&amp;"/"&amp;YEAR($A365))</f>
        <v/>
      </c>
      <c r="I365" s="21">
        <f>IF($A365="",0,YEAR($A365)*12+MONTH($A365))</f>
        <v/>
      </c>
    </row>
    <row r="366">
      <c r="A366" s="16" t="n"/>
      <c r="B366" s="17" t="n"/>
      <c r="C366" s="17" t="n"/>
      <c r="D366" s="18" t="n"/>
      <c r="E366" s="18" t="n"/>
      <c r="F366" s="17" t="n"/>
      <c r="G366" s="19" t="n"/>
      <c r="H366" s="20">
        <f>IF($A366="","",MONTH($A366)&amp;"/"&amp;YEAR($A366))</f>
        <v/>
      </c>
      <c r="I366" s="21">
        <f>IF($A366="",0,YEAR($A366)*12+MONTH($A366))</f>
        <v/>
      </c>
    </row>
    <row r="367">
      <c r="A367" s="16" t="n"/>
      <c r="B367" s="17" t="n"/>
      <c r="C367" s="17" t="n"/>
      <c r="D367" s="18" t="n"/>
      <c r="E367" s="18" t="n"/>
      <c r="F367" s="17" t="n"/>
      <c r="G367" s="19" t="n"/>
      <c r="H367" s="20">
        <f>IF($A367="","",MONTH($A367)&amp;"/"&amp;YEAR($A367))</f>
        <v/>
      </c>
      <c r="I367" s="21">
        <f>IF($A367="",0,YEAR($A367)*12+MONTH($A367))</f>
        <v/>
      </c>
    </row>
    <row r="368">
      <c r="A368" s="16" t="n"/>
      <c r="B368" s="17" t="n"/>
      <c r="C368" s="17" t="n"/>
      <c r="D368" s="18" t="n"/>
      <c r="E368" s="18" t="n"/>
      <c r="F368" s="17" t="n"/>
      <c r="G368" s="19" t="n"/>
      <c r="H368" s="20">
        <f>IF($A368="","",MONTH($A368)&amp;"/"&amp;YEAR($A368))</f>
        <v/>
      </c>
      <c r="I368" s="21">
        <f>IF($A368="",0,YEAR($A368)*12+MONTH($A368))</f>
        <v/>
      </c>
    </row>
    <row r="369">
      <c r="A369" s="16" t="n"/>
      <c r="B369" s="17" t="n"/>
      <c r="C369" s="17" t="n"/>
      <c r="D369" s="18" t="n"/>
      <c r="E369" s="18" t="n"/>
      <c r="F369" s="17" t="n"/>
      <c r="G369" s="19" t="n"/>
      <c r="H369" s="20">
        <f>IF($A369="","",MONTH($A369)&amp;"/"&amp;YEAR($A369))</f>
        <v/>
      </c>
      <c r="I369" s="21">
        <f>IF($A369="",0,YEAR($A369)*12+MONTH($A369))</f>
        <v/>
      </c>
    </row>
    <row r="370">
      <c r="A370" s="16" t="n"/>
      <c r="B370" s="17" t="n"/>
      <c r="C370" s="17" t="n"/>
      <c r="D370" s="18" t="n"/>
      <c r="E370" s="18" t="n"/>
      <c r="F370" s="17" t="n"/>
      <c r="G370" s="19" t="n"/>
      <c r="H370" s="20">
        <f>IF($A370="","",MONTH($A370)&amp;"/"&amp;YEAR($A370))</f>
        <v/>
      </c>
      <c r="I370" s="21">
        <f>IF($A370="",0,YEAR($A370)*12+MONTH($A370))</f>
        <v/>
      </c>
    </row>
    <row r="371">
      <c r="A371" s="16" t="n"/>
      <c r="B371" s="17" t="n"/>
      <c r="C371" s="17" t="n"/>
      <c r="D371" s="18" t="n"/>
      <c r="E371" s="18" t="n"/>
      <c r="F371" s="17" t="n"/>
      <c r="G371" s="19" t="n"/>
      <c r="H371" s="20">
        <f>IF($A371="","",MONTH($A371)&amp;"/"&amp;YEAR($A371))</f>
        <v/>
      </c>
      <c r="I371" s="21">
        <f>IF($A371="",0,YEAR($A371)*12+MONTH($A371))</f>
        <v/>
      </c>
    </row>
    <row r="372">
      <c r="A372" s="16" t="n"/>
      <c r="B372" s="17" t="n"/>
      <c r="C372" s="17" t="n"/>
      <c r="D372" s="18" t="n"/>
      <c r="E372" s="18" t="n"/>
      <c r="F372" s="17" t="n"/>
      <c r="G372" s="19" t="n"/>
      <c r="H372" s="20">
        <f>IF($A372="","",MONTH($A372)&amp;"/"&amp;YEAR($A372))</f>
        <v/>
      </c>
      <c r="I372" s="21">
        <f>IF($A372="",0,YEAR($A372)*12+MONTH($A372))</f>
        <v/>
      </c>
    </row>
    <row r="373">
      <c r="A373" s="16" t="n"/>
      <c r="B373" s="17" t="n"/>
      <c r="C373" s="17" t="n"/>
      <c r="D373" s="18" t="n"/>
      <c r="E373" s="18" t="n"/>
      <c r="F373" s="17" t="n"/>
      <c r="G373" s="19" t="n"/>
      <c r="H373" s="20">
        <f>IF($A373="","",MONTH($A373)&amp;"/"&amp;YEAR($A373))</f>
        <v/>
      </c>
      <c r="I373" s="21">
        <f>IF($A373="",0,YEAR($A373)*12+MONTH($A373))</f>
        <v/>
      </c>
    </row>
    <row r="374">
      <c r="A374" s="16" t="n"/>
      <c r="B374" s="17" t="n"/>
      <c r="C374" s="17" t="n"/>
      <c r="D374" s="18" t="n"/>
      <c r="E374" s="18" t="n"/>
      <c r="F374" s="17" t="n"/>
      <c r="G374" s="19" t="n"/>
      <c r="H374" s="20">
        <f>IF($A374="","",MONTH($A374)&amp;"/"&amp;YEAR($A374))</f>
        <v/>
      </c>
      <c r="I374" s="21">
        <f>IF($A374="",0,YEAR($A374)*12+MONTH($A374))</f>
        <v/>
      </c>
    </row>
    <row r="375">
      <c r="A375" s="16" t="n"/>
      <c r="B375" s="17" t="n"/>
      <c r="C375" s="17" t="n"/>
      <c r="D375" s="18" t="n"/>
      <c r="E375" s="18" t="n"/>
      <c r="F375" s="17" t="n"/>
      <c r="G375" s="19" t="n"/>
      <c r="H375" s="20">
        <f>IF($A375="","",MONTH($A375)&amp;"/"&amp;YEAR($A375))</f>
        <v/>
      </c>
      <c r="I375" s="21">
        <f>IF($A375="",0,YEAR($A375)*12+MONTH($A375))</f>
        <v/>
      </c>
    </row>
    <row r="376">
      <c r="A376" s="16" t="n"/>
      <c r="B376" s="17" t="n"/>
      <c r="C376" s="17" t="n"/>
      <c r="D376" s="18" t="n"/>
      <c r="E376" s="18" t="n"/>
      <c r="F376" s="17" t="n"/>
      <c r="G376" s="19" t="n"/>
      <c r="H376" s="20">
        <f>IF($A376="","",MONTH($A376)&amp;"/"&amp;YEAR($A376))</f>
        <v/>
      </c>
      <c r="I376" s="21">
        <f>IF($A376="",0,YEAR($A376)*12+MONTH($A376))</f>
        <v/>
      </c>
    </row>
    <row r="377">
      <c r="A377" s="16" t="n"/>
      <c r="B377" s="17" t="n"/>
      <c r="C377" s="17" t="n"/>
      <c r="D377" s="18" t="n"/>
      <c r="E377" s="18" t="n"/>
      <c r="F377" s="17" t="n"/>
      <c r="G377" s="19" t="n"/>
      <c r="H377" s="20">
        <f>IF($A377="","",MONTH($A377)&amp;"/"&amp;YEAR($A377))</f>
        <v/>
      </c>
      <c r="I377" s="21">
        <f>IF($A377="",0,YEAR($A377)*12+MONTH($A377))</f>
        <v/>
      </c>
    </row>
    <row r="378">
      <c r="A378" s="16" t="n"/>
      <c r="B378" s="17" t="n"/>
      <c r="C378" s="17" t="n"/>
      <c r="D378" s="18" t="n"/>
      <c r="E378" s="18" t="n"/>
      <c r="F378" s="17" t="n"/>
      <c r="G378" s="19" t="n"/>
      <c r="H378" s="20">
        <f>IF($A378="","",MONTH($A378)&amp;"/"&amp;YEAR($A378))</f>
        <v/>
      </c>
      <c r="I378" s="21">
        <f>IF($A378="",0,YEAR($A378)*12+MONTH($A378))</f>
        <v/>
      </c>
    </row>
    <row r="379">
      <c r="A379" s="16" t="n"/>
      <c r="B379" s="17" t="n"/>
      <c r="C379" s="17" t="n"/>
      <c r="D379" s="18" t="n"/>
      <c r="E379" s="18" t="n"/>
      <c r="F379" s="17" t="n"/>
      <c r="G379" s="19" t="n"/>
      <c r="H379" s="20">
        <f>IF($A379="","",MONTH($A379)&amp;"/"&amp;YEAR($A379))</f>
        <v/>
      </c>
      <c r="I379" s="21">
        <f>IF($A379="",0,YEAR($A379)*12+MONTH($A379))</f>
        <v/>
      </c>
    </row>
    <row r="380">
      <c r="A380" s="16" t="n"/>
      <c r="B380" s="17" t="n"/>
      <c r="C380" s="17" t="n"/>
      <c r="D380" s="18" t="n"/>
      <c r="E380" s="18" t="n"/>
      <c r="F380" s="17" t="n"/>
      <c r="G380" s="19" t="n"/>
      <c r="H380" s="20">
        <f>IF($A380="","",MONTH($A380)&amp;"/"&amp;YEAR($A380))</f>
        <v/>
      </c>
      <c r="I380" s="21">
        <f>IF($A380="",0,YEAR($A380)*12+MONTH($A380))</f>
        <v/>
      </c>
    </row>
    <row r="381">
      <c r="A381" s="16" t="n"/>
      <c r="B381" s="17" t="n"/>
      <c r="C381" s="17" t="n"/>
      <c r="D381" s="18" t="n"/>
      <c r="E381" s="18" t="n"/>
      <c r="F381" s="17" t="n"/>
      <c r="G381" s="19" t="n"/>
      <c r="H381" s="20">
        <f>IF($A381="","",MONTH($A381)&amp;"/"&amp;YEAR($A381))</f>
        <v/>
      </c>
      <c r="I381" s="21">
        <f>IF($A381="",0,YEAR($A381)*12+MONTH($A381))</f>
        <v/>
      </c>
    </row>
    <row r="382">
      <c r="A382" s="16" t="n"/>
      <c r="B382" s="17" t="n"/>
      <c r="C382" s="17" t="n"/>
      <c r="D382" s="18" t="n"/>
      <c r="E382" s="18" t="n"/>
      <c r="F382" s="17" t="n"/>
      <c r="G382" s="19" t="n"/>
      <c r="H382" s="20">
        <f>IF($A382="","",MONTH($A382)&amp;"/"&amp;YEAR($A382))</f>
        <v/>
      </c>
      <c r="I382" s="21">
        <f>IF($A382="",0,YEAR($A382)*12+MONTH($A382))</f>
        <v/>
      </c>
    </row>
    <row r="383">
      <c r="A383" s="16" t="n"/>
      <c r="B383" s="17" t="n"/>
      <c r="C383" s="17" t="n"/>
      <c r="D383" s="18" t="n"/>
      <c r="E383" s="18" t="n"/>
      <c r="F383" s="17" t="n"/>
      <c r="G383" s="19" t="n"/>
      <c r="H383" s="20">
        <f>IF($A383="","",MONTH($A383)&amp;"/"&amp;YEAR($A383))</f>
        <v/>
      </c>
      <c r="I383" s="21">
        <f>IF($A383="",0,YEAR($A383)*12+MONTH($A383))</f>
        <v/>
      </c>
    </row>
    <row r="384">
      <c r="A384" s="16" t="n"/>
      <c r="B384" s="17" t="n"/>
      <c r="C384" s="17" t="n"/>
      <c r="D384" s="18" t="n"/>
      <c r="E384" s="18" t="n"/>
      <c r="F384" s="17" t="n"/>
      <c r="G384" s="19" t="n"/>
      <c r="H384" s="20">
        <f>IF($A384="","",MONTH($A384)&amp;"/"&amp;YEAR($A384))</f>
        <v/>
      </c>
      <c r="I384" s="21">
        <f>IF($A384="",0,YEAR($A384)*12+MONTH($A384))</f>
        <v/>
      </c>
    </row>
    <row r="385">
      <c r="A385" s="16" t="n"/>
      <c r="B385" s="17" t="n"/>
      <c r="C385" s="17" t="n"/>
      <c r="D385" s="18" t="n"/>
      <c r="E385" s="18" t="n"/>
      <c r="F385" s="17" t="n"/>
      <c r="G385" s="19" t="n"/>
      <c r="H385" s="20">
        <f>IF($A385="","",MONTH($A385)&amp;"/"&amp;YEAR($A385))</f>
        <v/>
      </c>
      <c r="I385" s="21">
        <f>IF($A385="",0,YEAR($A385)*12+MONTH($A385))</f>
        <v/>
      </c>
    </row>
    <row r="386">
      <c r="A386" s="16" t="n"/>
      <c r="B386" s="17" t="n"/>
      <c r="C386" s="17" t="n"/>
      <c r="D386" s="18" t="n"/>
      <c r="E386" s="18" t="n"/>
      <c r="F386" s="17" t="n"/>
      <c r="G386" s="19" t="n"/>
      <c r="H386" s="20">
        <f>IF($A386="","",MONTH($A386)&amp;"/"&amp;YEAR($A386))</f>
        <v/>
      </c>
      <c r="I386" s="21">
        <f>IF($A386="",0,YEAR($A386)*12+MONTH($A386))</f>
        <v/>
      </c>
    </row>
    <row r="387">
      <c r="A387" s="16" t="n"/>
      <c r="B387" s="17" t="n"/>
      <c r="C387" s="17" t="n"/>
      <c r="D387" s="18" t="n"/>
      <c r="E387" s="18" t="n"/>
      <c r="F387" s="17" t="n"/>
      <c r="G387" s="19" t="n"/>
      <c r="H387" s="20">
        <f>IF($A387="","",MONTH($A387)&amp;"/"&amp;YEAR($A387))</f>
        <v/>
      </c>
      <c r="I387" s="21">
        <f>IF($A387="",0,YEAR($A387)*12+MONTH($A387))</f>
        <v/>
      </c>
    </row>
    <row r="388">
      <c r="A388" s="16" t="n"/>
      <c r="B388" s="17" t="n"/>
      <c r="C388" s="17" t="n"/>
      <c r="D388" s="18" t="n"/>
      <c r="E388" s="18" t="n"/>
      <c r="F388" s="17" t="n"/>
      <c r="G388" s="19" t="n"/>
      <c r="H388" s="20">
        <f>IF($A388="","",MONTH($A388)&amp;"/"&amp;YEAR($A388))</f>
        <v/>
      </c>
      <c r="I388" s="21">
        <f>IF($A388="",0,YEAR($A388)*12+MONTH($A388))</f>
        <v/>
      </c>
    </row>
    <row r="389">
      <c r="A389" s="16" t="n"/>
      <c r="B389" s="17" t="n"/>
      <c r="C389" s="17" t="n"/>
      <c r="D389" s="18" t="n"/>
      <c r="E389" s="18" t="n"/>
      <c r="F389" s="17" t="n"/>
      <c r="G389" s="19" t="n"/>
      <c r="H389" s="20">
        <f>IF($A389="","",MONTH($A389)&amp;"/"&amp;YEAR($A389))</f>
        <v/>
      </c>
      <c r="I389" s="21">
        <f>IF($A389="",0,YEAR($A389)*12+MONTH($A389))</f>
        <v/>
      </c>
    </row>
    <row r="390">
      <c r="A390" s="16" t="n"/>
      <c r="B390" s="17" t="n"/>
      <c r="C390" s="17" t="n"/>
      <c r="D390" s="18" t="n"/>
      <c r="E390" s="18" t="n"/>
      <c r="F390" s="17" t="n"/>
      <c r="G390" s="19" t="n"/>
      <c r="H390" s="20">
        <f>IF($A390="","",MONTH($A390)&amp;"/"&amp;YEAR($A390))</f>
        <v/>
      </c>
      <c r="I390" s="21">
        <f>IF($A390="",0,YEAR($A390)*12+MONTH($A390))</f>
        <v/>
      </c>
    </row>
    <row r="391">
      <c r="A391" s="16" t="n"/>
      <c r="B391" s="17" t="n"/>
      <c r="C391" s="17" t="n"/>
      <c r="D391" s="18" t="n"/>
      <c r="E391" s="18" t="n"/>
      <c r="F391" s="17" t="n"/>
      <c r="G391" s="19" t="n"/>
      <c r="H391" s="20">
        <f>IF($A391="","",MONTH($A391)&amp;"/"&amp;YEAR($A391))</f>
        <v/>
      </c>
      <c r="I391" s="21">
        <f>IF($A391="",0,YEAR($A391)*12+MONTH($A391))</f>
        <v/>
      </c>
    </row>
    <row r="392">
      <c r="A392" s="16" t="n"/>
      <c r="B392" s="17" t="n"/>
      <c r="C392" s="17" t="n"/>
      <c r="D392" s="18" t="n"/>
      <c r="E392" s="18" t="n"/>
      <c r="F392" s="17" t="n"/>
      <c r="G392" s="19" t="n"/>
      <c r="H392" s="20">
        <f>IF($A392="","",MONTH($A392)&amp;"/"&amp;YEAR($A392))</f>
        <v/>
      </c>
      <c r="I392" s="21">
        <f>IF($A392="",0,YEAR($A392)*12+MONTH($A392))</f>
        <v/>
      </c>
    </row>
    <row r="393">
      <c r="A393" s="16" t="n"/>
      <c r="B393" s="17" t="n"/>
      <c r="C393" s="17" t="n"/>
      <c r="D393" s="18" t="n"/>
      <c r="E393" s="18" t="n"/>
      <c r="F393" s="17" t="n"/>
      <c r="G393" s="19" t="n"/>
      <c r="H393" s="20">
        <f>IF($A393="","",MONTH($A393)&amp;"/"&amp;YEAR($A393))</f>
        <v/>
      </c>
      <c r="I393" s="21">
        <f>IF($A393="",0,YEAR($A393)*12+MONTH($A393))</f>
        <v/>
      </c>
    </row>
    <row r="394">
      <c r="A394" s="16" t="n"/>
      <c r="B394" s="17" t="n"/>
      <c r="C394" s="17" t="n"/>
      <c r="D394" s="18" t="n"/>
      <c r="E394" s="18" t="n"/>
      <c r="F394" s="17" t="n"/>
      <c r="G394" s="19" t="n"/>
      <c r="H394" s="20">
        <f>IF($A394="","",MONTH($A394)&amp;"/"&amp;YEAR($A394))</f>
        <v/>
      </c>
      <c r="I394" s="21">
        <f>IF($A394="",0,YEAR($A394)*12+MONTH($A394))</f>
        <v/>
      </c>
    </row>
    <row r="395">
      <c r="A395" s="16" t="n"/>
      <c r="B395" s="17" t="n"/>
      <c r="C395" s="17" t="n"/>
      <c r="D395" s="18" t="n"/>
      <c r="E395" s="18" t="n"/>
      <c r="F395" s="17" t="n"/>
      <c r="G395" s="19" t="n"/>
      <c r="H395" s="20">
        <f>IF($A395="","",MONTH($A395)&amp;"/"&amp;YEAR($A395))</f>
        <v/>
      </c>
      <c r="I395" s="21">
        <f>IF($A395="",0,YEAR($A395)*12+MONTH($A395))</f>
        <v/>
      </c>
    </row>
    <row r="396">
      <c r="A396" s="16" t="n"/>
      <c r="B396" s="17" t="n"/>
      <c r="C396" s="17" t="n"/>
      <c r="D396" s="18" t="n"/>
      <c r="E396" s="18" t="n"/>
      <c r="F396" s="17" t="n"/>
      <c r="G396" s="19" t="n"/>
      <c r="H396" s="20">
        <f>IF($A396="","",MONTH($A396)&amp;"/"&amp;YEAR($A396))</f>
        <v/>
      </c>
      <c r="I396" s="21">
        <f>IF($A396="",0,YEAR($A396)*12+MONTH($A396))</f>
        <v/>
      </c>
    </row>
    <row r="397">
      <c r="A397" s="16" t="n"/>
      <c r="B397" s="17" t="n"/>
      <c r="C397" s="17" t="n"/>
      <c r="D397" s="18" t="n"/>
      <c r="E397" s="18" t="n"/>
      <c r="F397" s="17" t="n"/>
      <c r="G397" s="19" t="n"/>
      <c r="H397" s="20">
        <f>IF($A397="","",MONTH($A397)&amp;"/"&amp;YEAR($A397))</f>
        <v/>
      </c>
      <c r="I397" s="21">
        <f>IF($A397="",0,YEAR($A397)*12+MONTH($A397))</f>
        <v/>
      </c>
    </row>
    <row r="398">
      <c r="A398" s="16" t="n"/>
      <c r="B398" s="17" t="n"/>
      <c r="C398" s="17" t="n"/>
      <c r="D398" s="18" t="n"/>
      <c r="E398" s="18" t="n"/>
      <c r="F398" s="17" t="n"/>
      <c r="G398" s="19" t="n"/>
      <c r="H398" s="20">
        <f>IF($A398="","",MONTH($A398)&amp;"/"&amp;YEAR($A398))</f>
        <v/>
      </c>
      <c r="I398" s="21">
        <f>IF($A398="",0,YEAR($A398)*12+MONTH($A398))</f>
        <v/>
      </c>
    </row>
    <row r="399">
      <c r="A399" s="16" t="n"/>
      <c r="B399" s="17" t="n"/>
      <c r="C399" s="17" t="n"/>
      <c r="D399" s="18" t="n"/>
      <c r="E399" s="18" t="n"/>
      <c r="F399" s="17" t="n"/>
      <c r="G399" s="19" t="n"/>
      <c r="H399" s="20">
        <f>IF($A399="","",MONTH($A399)&amp;"/"&amp;YEAR($A399))</f>
        <v/>
      </c>
      <c r="I399" s="21">
        <f>IF($A399="",0,YEAR($A399)*12+MONTH($A399))</f>
        <v/>
      </c>
    </row>
    <row r="400">
      <c r="A400" s="16" t="n"/>
      <c r="B400" s="17" t="n"/>
      <c r="C400" s="17" t="n"/>
      <c r="D400" s="18" t="n"/>
      <c r="E400" s="18" t="n"/>
      <c r="F400" s="17" t="n"/>
      <c r="G400" s="19" t="n"/>
      <c r="H400" s="20">
        <f>IF($A400="","",MONTH($A400)&amp;"/"&amp;YEAR($A400))</f>
        <v/>
      </c>
      <c r="I400" s="21">
        <f>IF($A400="",0,YEAR($A400)*12+MONTH($A400))</f>
        <v/>
      </c>
    </row>
    <row r="401">
      <c r="A401" s="16" t="n"/>
      <c r="B401" s="17" t="n"/>
      <c r="C401" s="17" t="n"/>
      <c r="D401" s="18" t="n"/>
      <c r="E401" s="18" t="n"/>
      <c r="F401" s="17" t="n"/>
      <c r="G401" s="19" t="n"/>
      <c r="H401" s="20">
        <f>IF($A401="","",MONTH($A401)&amp;"/"&amp;YEAR($A401))</f>
        <v/>
      </c>
      <c r="I401" s="21">
        <f>IF($A401="",0,YEAR($A401)*12+MONTH($A401))</f>
        <v/>
      </c>
    </row>
    <row r="402">
      <c r="A402" s="16" t="n"/>
      <c r="B402" s="17" t="n"/>
      <c r="C402" s="17" t="n"/>
      <c r="D402" s="18" t="n"/>
      <c r="E402" s="18" t="n"/>
      <c r="F402" s="17" t="n"/>
      <c r="G402" s="19" t="n"/>
      <c r="H402" s="20">
        <f>IF($A402="","",MONTH($A402)&amp;"/"&amp;YEAR($A402))</f>
        <v/>
      </c>
      <c r="I402" s="21">
        <f>IF($A402="",0,YEAR($A402)*12+MONTH($A402))</f>
        <v/>
      </c>
    </row>
    <row r="403">
      <c r="A403" s="16" t="n"/>
      <c r="B403" s="17" t="n"/>
      <c r="C403" s="17" t="n"/>
      <c r="D403" s="18" t="n"/>
      <c r="E403" s="18" t="n"/>
      <c r="F403" s="17" t="n"/>
      <c r="G403" s="19" t="n"/>
      <c r="H403" s="20">
        <f>IF($A403="","",MONTH($A403)&amp;"/"&amp;YEAR($A403))</f>
        <v/>
      </c>
      <c r="I403" s="21">
        <f>IF($A403="",0,YEAR($A403)*12+MONTH($A403))</f>
        <v/>
      </c>
    </row>
    <row r="404">
      <c r="A404" s="16" t="n"/>
      <c r="B404" s="17" t="n"/>
      <c r="C404" s="17" t="n"/>
      <c r="D404" s="18" t="n"/>
      <c r="E404" s="18" t="n"/>
      <c r="F404" s="17" t="n"/>
      <c r="G404" s="19" t="n"/>
      <c r="H404" s="20">
        <f>IF($A404="","",MONTH($A404)&amp;"/"&amp;YEAR($A404))</f>
        <v/>
      </c>
      <c r="I404" s="21">
        <f>IF($A404="",0,YEAR($A404)*12+MONTH($A404))</f>
        <v/>
      </c>
    </row>
    <row r="405">
      <c r="A405" s="16" t="n"/>
      <c r="B405" s="17" t="n"/>
      <c r="C405" s="17" t="n"/>
      <c r="D405" s="18" t="n"/>
      <c r="E405" s="18" t="n"/>
      <c r="F405" s="17" t="n"/>
      <c r="G405" s="19" t="n"/>
      <c r="H405" s="20">
        <f>IF($A405="","",MONTH($A405)&amp;"/"&amp;YEAR($A405))</f>
        <v/>
      </c>
      <c r="I405" s="21">
        <f>IF($A405="",0,YEAR($A405)*12+MONTH($A405))</f>
        <v/>
      </c>
    </row>
    <row r="406">
      <c r="A406" s="16" t="n"/>
      <c r="B406" s="17" t="n"/>
      <c r="C406" s="17" t="n"/>
      <c r="D406" s="18" t="n"/>
      <c r="E406" s="18" t="n"/>
      <c r="F406" s="17" t="n"/>
      <c r="G406" s="19" t="n"/>
      <c r="H406" s="20">
        <f>IF($A406="","",MONTH($A406)&amp;"/"&amp;YEAR($A406))</f>
        <v/>
      </c>
      <c r="I406" s="21">
        <f>IF($A406="",0,YEAR($A406)*12+MONTH($A406))</f>
        <v/>
      </c>
    </row>
    <row r="407">
      <c r="A407" s="16" t="n"/>
      <c r="B407" s="17" t="n"/>
      <c r="C407" s="17" t="n"/>
      <c r="D407" s="18" t="n"/>
      <c r="E407" s="18" t="n"/>
      <c r="F407" s="17" t="n"/>
      <c r="G407" s="19" t="n"/>
      <c r="H407" s="20">
        <f>IF($A407="","",MONTH($A407)&amp;"/"&amp;YEAR($A407))</f>
        <v/>
      </c>
      <c r="I407" s="21">
        <f>IF($A407="",0,YEAR($A407)*12+MONTH($A407))</f>
        <v/>
      </c>
    </row>
    <row r="408">
      <c r="A408" s="16" t="n"/>
      <c r="B408" s="17" t="n"/>
      <c r="C408" s="17" t="n"/>
      <c r="D408" s="18" t="n"/>
      <c r="E408" s="18" t="n"/>
      <c r="F408" s="17" t="n"/>
      <c r="G408" s="19" t="n"/>
      <c r="H408" s="20">
        <f>IF($A408="","",MONTH($A408)&amp;"/"&amp;YEAR($A408))</f>
        <v/>
      </c>
      <c r="I408" s="21">
        <f>IF($A408="",0,YEAR($A408)*12+MONTH($A408))</f>
        <v/>
      </c>
    </row>
    <row r="409">
      <c r="A409" s="16" t="n"/>
      <c r="B409" s="17" t="n"/>
      <c r="C409" s="17" t="n"/>
      <c r="D409" s="18" t="n"/>
      <c r="E409" s="18" t="n"/>
      <c r="F409" s="17" t="n"/>
      <c r="G409" s="19" t="n"/>
      <c r="H409" s="20">
        <f>IF($A409="","",MONTH($A409)&amp;"/"&amp;YEAR($A409))</f>
        <v/>
      </c>
      <c r="I409" s="21">
        <f>IF($A409="",0,YEAR($A409)*12+MONTH($A409))</f>
        <v/>
      </c>
    </row>
    <row r="410">
      <c r="A410" s="16" t="n"/>
      <c r="B410" s="17" t="n"/>
      <c r="C410" s="17" t="n"/>
      <c r="D410" s="18" t="n"/>
      <c r="E410" s="18" t="n"/>
      <c r="F410" s="17" t="n"/>
      <c r="G410" s="19" t="n"/>
      <c r="H410" s="20">
        <f>IF($A410="","",MONTH($A410)&amp;"/"&amp;YEAR($A410))</f>
        <v/>
      </c>
      <c r="I410" s="21">
        <f>IF($A410="",0,YEAR($A410)*12+MONTH($A410))</f>
        <v/>
      </c>
    </row>
    <row r="411">
      <c r="A411" s="16" t="n"/>
      <c r="B411" s="17" t="n"/>
      <c r="C411" s="17" t="n"/>
      <c r="D411" s="18" t="n"/>
      <c r="E411" s="18" t="n"/>
      <c r="F411" s="17" t="n"/>
      <c r="G411" s="19" t="n"/>
      <c r="H411" s="20">
        <f>IF($A411="","",MONTH($A411)&amp;"/"&amp;YEAR($A411))</f>
        <v/>
      </c>
      <c r="I411" s="21">
        <f>IF($A411="",0,YEAR($A411)*12+MONTH($A411))</f>
        <v/>
      </c>
    </row>
    <row r="412">
      <c r="A412" s="16" t="n"/>
      <c r="B412" s="17" t="n"/>
      <c r="C412" s="17" t="n"/>
      <c r="D412" s="18" t="n"/>
      <c r="E412" s="18" t="n"/>
      <c r="F412" s="17" t="n"/>
      <c r="G412" s="19" t="n"/>
      <c r="H412" s="20">
        <f>IF($A412="","",MONTH($A412)&amp;"/"&amp;YEAR($A412))</f>
        <v/>
      </c>
      <c r="I412" s="21">
        <f>IF($A412="",0,YEAR($A412)*12+MONTH($A412))</f>
        <v/>
      </c>
    </row>
    <row r="413">
      <c r="A413" s="16" t="n"/>
      <c r="B413" s="17" t="n"/>
      <c r="C413" s="17" t="n"/>
      <c r="D413" s="18" t="n"/>
      <c r="E413" s="18" t="n"/>
      <c r="F413" s="17" t="n"/>
      <c r="G413" s="19" t="n"/>
      <c r="H413" s="20">
        <f>IF($A413="","",MONTH($A413)&amp;"/"&amp;YEAR($A413))</f>
        <v/>
      </c>
      <c r="I413" s="21">
        <f>IF($A413="",0,YEAR($A413)*12+MONTH($A413))</f>
        <v/>
      </c>
    </row>
    <row r="414">
      <c r="A414" s="16" t="n"/>
      <c r="B414" s="17" t="n"/>
      <c r="C414" s="17" t="n"/>
      <c r="D414" s="18" t="n"/>
      <c r="E414" s="18" t="n"/>
      <c r="F414" s="17" t="n"/>
      <c r="G414" s="19" t="n"/>
      <c r="H414" s="20">
        <f>IF($A414="","",MONTH($A414)&amp;"/"&amp;YEAR($A414))</f>
        <v/>
      </c>
      <c r="I414" s="21">
        <f>IF($A414="",0,YEAR($A414)*12+MONTH($A414))</f>
        <v/>
      </c>
    </row>
    <row r="415">
      <c r="A415" s="16" t="n"/>
      <c r="B415" s="17" t="n"/>
      <c r="C415" s="17" t="n"/>
      <c r="D415" s="18" t="n"/>
      <c r="E415" s="18" t="n"/>
      <c r="F415" s="17" t="n"/>
      <c r="G415" s="19" t="n"/>
      <c r="H415" s="20">
        <f>IF($A415="","",MONTH($A415)&amp;"/"&amp;YEAR($A415))</f>
        <v/>
      </c>
      <c r="I415" s="21">
        <f>IF($A415="",0,YEAR($A415)*12+MONTH($A415))</f>
        <v/>
      </c>
    </row>
    <row r="416">
      <c r="A416" s="16" t="n"/>
      <c r="B416" s="17" t="n"/>
      <c r="C416" s="17" t="n"/>
      <c r="D416" s="18" t="n"/>
      <c r="E416" s="18" t="n"/>
      <c r="F416" s="17" t="n"/>
      <c r="G416" s="19" t="n"/>
      <c r="H416" s="20">
        <f>IF($A416="","",MONTH($A416)&amp;"/"&amp;YEAR($A416))</f>
        <v/>
      </c>
      <c r="I416" s="21">
        <f>IF($A416="",0,YEAR($A416)*12+MONTH($A416))</f>
        <v/>
      </c>
    </row>
    <row r="417">
      <c r="A417" s="16" t="n"/>
      <c r="B417" s="17" t="n"/>
      <c r="C417" s="17" t="n"/>
      <c r="D417" s="18" t="n"/>
      <c r="E417" s="18" t="n"/>
      <c r="F417" s="17" t="n"/>
      <c r="G417" s="19" t="n"/>
      <c r="H417" s="20">
        <f>IF($A417="","",MONTH($A417)&amp;"/"&amp;YEAR($A417))</f>
        <v/>
      </c>
      <c r="I417" s="21">
        <f>IF($A417="",0,YEAR($A417)*12+MONTH($A417))</f>
        <v/>
      </c>
    </row>
    <row r="418">
      <c r="A418" s="16" t="n"/>
      <c r="B418" s="17" t="n"/>
      <c r="C418" s="17" t="n"/>
      <c r="D418" s="18" t="n"/>
      <c r="E418" s="18" t="n"/>
      <c r="F418" s="17" t="n"/>
      <c r="G418" s="19" t="n"/>
      <c r="H418" s="20">
        <f>IF($A418="","",MONTH($A418)&amp;"/"&amp;YEAR($A418))</f>
        <v/>
      </c>
      <c r="I418" s="21">
        <f>IF($A418="",0,YEAR($A418)*12+MONTH($A418))</f>
        <v/>
      </c>
    </row>
    <row r="419">
      <c r="A419" s="16" t="n"/>
      <c r="B419" s="17" t="n"/>
      <c r="C419" s="17" t="n"/>
      <c r="D419" s="18" t="n"/>
      <c r="E419" s="18" t="n"/>
      <c r="F419" s="17" t="n"/>
      <c r="G419" s="19" t="n"/>
      <c r="H419" s="20">
        <f>IF($A419="","",MONTH($A419)&amp;"/"&amp;YEAR($A419))</f>
        <v/>
      </c>
      <c r="I419" s="21">
        <f>IF($A419="",0,YEAR($A419)*12+MONTH($A419))</f>
        <v/>
      </c>
    </row>
    <row r="420">
      <c r="A420" s="16" t="n"/>
      <c r="B420" s="17" t="n"/>
      <c r="C420" s="17" t="n"/>
      <c r="D420" s="18" t="n"/>
      <c r="E420" s="18" t="n"/>
      <c r="F420" s="17" t="n"/>
      <c r="G420" s="19" t="n"/>
      <c r="H420" s="20">
        <f>IF($A420="","",MONTH($A420)&amp;"/"&amp;YEAR($A420))</f>
        <v/>
      </c>
      <c r="I420" s="21">
        <f>IF($A420="",0,YEAR($A420)*12+MONTH($A420))</f>
        <v/>
      </c>
    </row>
    <row r="421">
      <c r="A421" s="16" t="n"/>
      <c r="B421" s="17" t="n"/>
      <c r="C421" s="17" t="n"/>
      <c r="D421" s="18" t="n"/>
      <c r="E421" s="18" t="n"/>
      <c r="F421" s="17" t="n"/>
      <c r="G421" s="19" t="n"/>
      <c r="H421" s="20">
        <f>IF($A421="","",MONTH($A421)&amp;"/"&amp;YEAR($A421))</f>
        <v/>
      </c>
      <c r="I421" s="21">
        <f>IF($A421="",0,YEAR($A421)*12+MONTH($A421))</f>
        <v/>
      </c>
    </row>
    <row r="422">
      <c r="A422" s="16" t="n"/>
      <c r="B422" s="17" t="n"/>
      <c r="C422" s="17" t="n"/>
      <c r="D422" s="18" t="n"/>
      <c r="E422" s="18" t="n"/>
      <c r="F422" s="17" t="n"/>
      <c r="G422" s="19" t="n"/>
      <c r="H422" s="20">
        <f>IF($A422="","",MONTH($A422)&amp;"/"&amp;YEAR($A422))</f>
        <v/>
      </c>
      <c r="I422" s="21">
        <f>IF($A422="",0,YEAR($A422)*12+MONTH($A422))</f>
        <v/>
      </c>
    </row>
    <row r="423">
      <c r="A423" s="16" t="n"/>
      <c r="B423" s="17" t="n"/>
      <c r="C423" s="17" t="n"/>
      <c r="D423" s="18" t="n"/>
      <c r="E423" s="18" t="n"/>
      <c r="F423" s="17" t="n"/>
      <c r="G423" s="19" t="n"/>
      <c r="H423" s="20">
        <f>IF($A423="","",MONTH($A423)&amp;"/"&amp;YEAR($A423))</f>
        <v/>
      </c>
      <c r="I423" s="21">
        <f>IF($A423="",0,YEAR($A423)*12+MONTH($A423))</f>
        <v/>
      </c>
    </row>
    <row r="424">
      <c r="A424" s="16" t="n"/>
      <c r="B424" s="17" t="n"/>
      <c r="C424" s="17" t="n"/>
      <c r="D424" s="18" t="n"/>
      <c r="E424" s="18" t="n"/>
      <c r="F424" s="17" t="n"/>
      <c r="G424" s="19" t="n"/>
      <c r="H424" s="20">
        <f>IF($A424="","",MONTH($A424)&amp;"/"&amp;YEAR($A424))</f>
        <v/>
      </c>
      <c r="I424" s="21">
        <f>IF($A424="",0,YEAR($A424)*12+MONTH($A424))</f>
        <v/>
      </c>
    </row>
    <row r="425">
      <c r="A425" s="16" t="n"/>
      <c r="B425" s="17" t="n"/>
      <c r="C425" s="17" t="n"/>
      <c r="D425" s="18" t="n"/>
      <c r="E425" s="18" t="n"/>
      <c r="F425" s="17" t="n"/>
      <c r="G425" s="19" t="n"/>
      <c r="H425" s="20">
        <f>IF($A425="","",MONTH($A425)&amp;"/"&amp;YEAR($A425))</f>
        <v/>
      </c>
      <c r="I425" s="21">
        <f>IF($A425="",0,YEAR($A425)*12+MONTH($A425))</f>
        <v/>
      </c>
    </row>
    <row r="426">
      <c r="A426" s="16" t="n"/>
      <c r="B426" s="17" t="n"/>
      <c r="C426" s="17" t="n"/>
      <c r="D426" s="18" t="n"/>
      <c r="E426" s="18" t="n"/>
      <c r="F426" s="17" t="n"/>
      <c r="G426" s="19" t="n"/>
      <c r="H426" s="20">
        <f>IF($A426="","",MONTH($A426)&amp;"/"&amp;YEAR($A426))</f>
        <v/>
      </c>
      <c r="I426" s="21">
        <f>IF($A426="",0,YEAR($A426)*12+MONTH($A426))</f>
        <v/>
      </c>
    </row>
    <row r="427">
      <c r="A427" s="16" t="n"/>
      <c r="B427" s="17" t="n"/>
      <c r="C427" s="17" t="n"/>
      <c r="D427" s="18" t="n"/>
      <c r="E427" s="18" t="n"/>
      <c r="F427" s="17" t="n"/>
      <c r="G427" s="19" t="n"/>
      <c r="H427" s="20">
        <f>IF($A427="","",MONTH($A427)&amp;"/"&amp;YEAR($A427))</f>
        <v/>
      </c>
      <c r="I427" s="21">
        <f>IF($A427="",0,YEAR($A427)*12+MONTH($A427))</f>
        <v/>
      </c>
    </row>
    <row r="428">
      <c r="A428" s="16" t="n"/>
      <c r="B428" s="17" t="n"/>
      <c r="C428" s="17" t="n"/>
      <c r="D428" s="18" t="n"/>
      <c r="E428" s="18" t="n"/>
      <c r="F428" s="17" t="n"/>
      <c r="G428" s="19" t="n"/>
      <c r="H428" s="20">
        <f>IF($A428="","",MONTH($A428)&amp;"/"&amp;YEAR($A428))</f>
        <v/>
      </c>
      <c r="I428" s="21">
        <f>IF($A428="",0,YEAR($A428)*12+MONTH($A428))</f>
        <v/>
      </c>
    </row>
    <row r="429">
      <c r="A429" s="16" t="n"/>
      <c r="B429" s="17" t="n"/>
      <c r="C429" s="17" t="n"/>
      <c r="D429" s="18" t="n"/>
      <c r="E429" s="18" t="n"/>
      <c r="F429" s="17" t="n"/>
      <c r="G429" s="19" t="n"/>
      <c r="H429" s="20">
        <f>IF($A429="","",MONTH($A429)&amp;"/"&amp;YEAR($A429))</f>
        <v/>
      </c>
      <c r="I429" s="21">
        <f>IF($A429="",0,YEAR($A429)*12+MONTH($A429))</f>
        <v/>
      </c>
    </row>
    <row r="430">
      <c r="A430" s="16" t="n"/>
      <c r="B430" s="17" t="n"/>
      <c r="C430" s="17" t="n"/>
      <c r="D430" s="18" t="n"/>
      <c r="E430" s="18" t="n"/>
      <c r="F430" s="17" t="n"/>
      <c r="G430" s="19" t="n"/>
      <c r="H430" s="20">
        <f>IF($A430="","",MONTH($A430)&amp;"/"&amp;YEAR($A430))</f>
        <v/>
      </c>
      <c r="I430" s="21">
        <f>IF($A430="",0,YEAR($A430)*12+MONTH($A430))</f>
        <v/>
      </c>
    </row>
    <row r="431">
      <c r="A431" s="16" t="n"/>
      <c r="B431" s="17" t="n"/>
      <c r="C431" s="17" t="n"/>
      <c r="D431" s="18" t="n"/>
      <c r="E431" s="18" t="n"/>
      <c r="F431" s="17" t="n"/>
      <c r="G431" s="19" t="n"/>
      <c r="H431" s="20">
        <f>IF($A431="","",MONTH($A431)&amp;"/"&amp;YEAR($A431))</f>
        <v/>
      </c>
      <c r="I431" s="21">
        <f>IF($A431="",0,YEAR($A431)*12+MONTH($A431))</f>
        <v/>
      </c>
    </row>
    <row r="432">
      <c r="A432" s="16" t="n"/>
      <c r="B432" s="17" t="n"/>
      <c r="C432" s="17" t="n"/>
      <c r="D432" s="18" t="n"/>
      <c r="E432" s="18" t="n"/>
      <c r="F432" s="17" t="n"/>
      <c r="G432" s="19" t="n"/>
      <c r="H432" s="20">
        <f>IF($A432="","",MONTH($A432)&amp;"/"&amp;YEAR($A432))</f>
        <v/>
      </c>
      <c r="I432" s="21">
        <f>IF($A432="",0,YEAR($A432)*12+MONTH($A432))</f>
        <v/>
      </c>
    </row>
    <row r="433">
      <c r="A433" s="16" t="n"/>
      <c r="B433" s="17" t="n"/>
      <c r="C433" s="17" t="n"/>
      <c r="D433" s="18" t="n"/>
      <c r="E433" s="18" t="n"/>
      <c r="F433" s="17" t="n"/>
      <c r="G433" s="19" t="n"/>
      <c r="H433" s="20">
        <f>IF($A433="","",MONTH($A433)&amp;"/"&amp;YEAR($A433))</f>
        <v/>
      </c>
      <c r="I433" s="21">
        <f>IF($A433="",0,YEAR($A433)*12+MONTH($A433))</f>
        <v/>
      </c>
    </row>
    <row r="434">
      <c r="A434" s="16" t="n"/>
      <c r="B434" s="17" t="n"/>
      <c r="C434" s="17" t="n"/>
      <c r="D434" s="18" t="n"/>
      <c r="E434" s="18" t="n"/>
      <c r="F434" s="17" t="n"/>
      <c r="G434" s="19" t="n"/>
      <c r="H434" s="20">
        <f>IF($A434="","",MONTH($A434)&amp;"/"&amp;YEAR($A434))</f>
        <v/>
      </c>
      <c r="I434" s="21">
        <f>IF($A434="",0,YEAR($A434)*12+MONTH($A434))</f>
        <v/>
      </c>
    </row>
    <row r="435">
      <c r="A435" s="16" t="n"/>
      <c r="B435" s="17" t="n"/>
      <c r="C435" s="17" t="n"/>
      <c r="D435" s="18" t="n"/>
      <c r="E435" s="18" t="n"/>
      <c r="F435" s="17" t="n"/>
      <c r="G435" s="19" t="n"/>
      <c r="H435" s="20">
        <f>IF($A435="","",MONTH($A435)&amp;"/"&amp;YEAR($A435))</f>
        <v/>
      </c>
      <c r="I435" s="21">
        <f>IF($A435="",0,YEAR($A435)*12+MONTH($A435))</f>
        <v/>
      </c>
    </row>
    <row r="436">
      <c r="A436" s="16" t="n"/>
      <c r="B436" s="17" t="n"/>
      <c r="C436" s="17" t="n"/>
      <c r="D436" s="18" t="n"/>
      <c r="E436" s="18" t="n"/>
      <c r="F436" s="17" t="n"/>
      <c r="G436" s="19" t="n"/>
      <c r="H436" s="20">
        <f>IF($A436="","",MONTH($A436)&amp;"/"&amp;YEAR($A436))</f>
        <v/>
      </c>
      <c r="I436" s="21">
        <f>IF($A436="",0,YEAR($A436)*12+MONTH($A436))</f>
        <v/>
      </c>
    </row>
    <row r="437">
      <c r="A437" s="16" t="n"/>
      <c r="B437" s="17" t="n"/>
      <c r="C437" s="17" t="n"/>
      <c r="D437" s="18" t="n"/>
      <c r="E437" s="18" t="n"/>
      <c r="F437" s="17" t="n"/>
      <c r="G437" s="19" t="n"/>
      <c r="H437" s="20">
        <f>IF($A437="","",MONTH($A437)&amp;"/"&amp;YEAR($A437))</f>
        <v/>
      </c>
      <c r="I437" s="21">
        <f>IF($A437="",0,YEAR($A437)*12+MONTH($A437))</f>
        <v/>
      </c>
    </row>
    <row r="438">
      <c r="A438" s="16" t="n"/>
      <c r="B438" s="17" t="n"/>
      <c r="C438" s="17" t="n"/>
      <c r="D438" s="18" t="n"/>
      <c r="E438" s="18" t="n"/>
      <c r="F438" s="17" t="n"/>
      <c r="G438" s="19" t="n"/>
      <c r="H438" s="20">
        <f>IF($A438="","",MONTH($A438)&amp;"/"&amp;YEAR($A438))</f>
        <v/>
      </c>
      <c r="I438" s="21">
        <f>IF($A438="",0,YEAR($A438)*12+MONTH($A438))</f>
        <v/>
      </c>
    </row>
    <row r="439">
      <c r="A439" s="16" t="n"/>
      <c r="B439" s="17" t="n"/>
      <c r="C439" s="17" t="n"/>
      <c r="D439" s="18" t="n"/>
      <c r="E439" s="18" t="n"/>
      <c r="F439" s="17" t="n"/>
      <c r="G439" s="19" t="n"/>
      <c r="H439" s="20">
        <f>IF($A439="","",MONTH($A439)&amp;"/"&amp;YEAR($A439))</f>
        <v/>
      </c>
      <c r="I439" s="21">
        <f>IF($A439="",0,YEAR($A439)*12+MONTH($A439))</f>
        <v/>
      </c>
    </row>
    <row r="440">
      <c r="A440" s="16" t="n"/>
      <c r="B440" s="17" t="n"/>
      <c r="C440" s="17" t="n"/>
      <c r="D440" s="18" t="n"/>
      <c r="E440" s="18" t="n"/>
      <c r="F440" s="17" t="n"/>
      <c r="G440" s="19" t="n"/>
      <c r="H440" s="20">
        <f>IF($A440="","",MONTH($A440)&amp;"/"&amp;YEAR($A440))</f>
        <v/>
      </c>
      <c r="I440" s="21">
        <f>IF($A440="",0,YEAR($A440)*12+MONTH($A440))</f>
        <v/>
      </c>
    </row>
    <row r="441">
      <c r="A441" s="16" t="n"/>
      <c r="B441" s="17" t="n"/>
      <c r="C441" s="17" t="n"/>
      <c r="D441" s="18" t="n"/>
      <c r="E441" s="18" t="n"/>
      <c r="F441" s="17" t="n"/>
      <c r="G441" s="19" t="n"/>
      <c r="H441" s="20">
        <f>IF($A441="","",MONTH($A441)&amp;"/"&amp;YEAR($A441))</f>
        <v/>
      </c>
      <c r="I441" s="21">
        <f>IF($A441="",0,YEAR($A441)*12+MONTH($A441))</f>
        <v/>
      </c>
    </row>
    <row r="442">
      <c r="A442" s="16" t="n"/>
      <c r="B442" s="17" t="n"/>
      <c r="C442" s="17" t="n"/>
      <c r="D442" s="18" t="n"/>
      <c r="E442" s="18" t="n"/>
      <c r="F442" s="17" t="n"/>
      <c r="G442" s="19" t="n"/>
      <c r="H442" s="20">
        <f>IF($A442="","",MONTH($A442)&amp;"/"&amp;YEAR($A442))</f>
        <v/>
      </c>
      <c r="I442" s="21">
        <f>IF($A442="",0,YEAR($A442)*12+MONTH($A442))</f>
        <v/>
      </c>
    </row>
    <row r="443">
      <c r="A443" s="16" t="n"/>
      <c r="B443" s="17" t="n"/>
      <c r="C443" s="17" t="n"/>
      <c r="D443" s="18" t="n"/>
      <c r="E443" s="18" t="n"/>
      <c r="F443" s="17" t="n"/>
      <c r="G443" s="19" t="n"/>
      <c r="H443" s="20">
        <f>IF($A443="","",MONTH($A443)&amp;"/"&amp;YEAR($A443))</f>
        <v/>
      </c>
      <c r="I443" s="21">
        <f>IF($A443="",0,YEAR($A443)*12+MONTH($A443))</f>
        <v/>
      </c>
    </row>
    <row r="444">
      <c r="A444" s="16" t="n"/>
      <c r="B444" s="17" t="n"/>
      <c r="C444" s="17" t="n"/>
      <c r="D444" s="18" t="n"/>
      <c r="E444" s="18" t="n"/>
      <c r="F444" s="17" t="n"/>
      <c r="G444" s="19" t="n"/>
      <c r="H444" s="20">
        <f>IF($A444="","",MONTH($A444)&amp;"/"&amp;YEAR($A444))</f>
        <v/>
      </c>
      <c r="I444" s="21">
        <f>IF($A444="",0,YEAR($A444)*12+MONTH($A444))</f>
        <v/>
      </c>
    </row>
    <row r="445">
      <c r="A445" s="16" t="n"/>
      <c r="B445" s="17" t="n"/>
      <c r="C445" s="17" t="n"/>
      <c r="D445" s="18" t="n"/>
      <c r="E445" s="18" t="n"/>
      <c r="F445" s="17" t="n"/>
      <c r="G445" s="19" t="n"/>
      <c r="H445" s="20">
        <f>IF($A445="","",MONTH($A445)&amp;"/"&amp;YEAR($A445))</f>
        <v/>
      </c>
      <c r="I445" s="21">
        <f>IF($A445="",0,YEAR($A445)*12+MONTH($A445))</f>
        <v/>
      </c>
    </row>
    <row r="446">
      <c r="A446" s="16" t="n"/>
      <c r="B446" s="17" t="n"/>
      <c r="C446" s="17" t="n"/>
      <c r="D446" s="18" t="n"/>
      <c r="E446" s="18" t="n"/>
      <c r="F446" s="17" t="n"/>
      <c r="G446" s="19" t="n"/>
      <c r="H446" s="20">
        <f>IF($A446="","",MONTH($A446)&amp;"/"&amp;YEAR($A446))</f>
        <v/>
      </c>
      <c r="I446" s="21">
        <f>IF($A446="",0,YEAR($A446)*12+MONTH($A446))</f>
        <v/>
      </c>
    </row>
    <row r="447">
      <c r="A447" s="16" t="n"/>
      <c r="B447" s="17" t="n"/>
      <c r="C447" s="17" t="n"/>
      <c r="D447" s="18" t="n"/>
      <c r="E447" s="18" t="n"/>
      <c r="F447" s="17" t="n"/>
      <c r="G447" s="19" t="n"/>
      <c r="H447" s="20">
        <f>IF($A447="","",MONTH($A447)&amp;"/"&amp;YEAR($A447))</f>
        <v/>
      </c>
      <c r="I447" s="21">
        <f>IF($A447="",0,YEAR($A447)*12+MONTH($A447))</f>
        <v/>
      </c>
    </row>
    <row r="448">
      <c r="A448" s="16" t="n"/>
      <c r="B448" s="17" t="n"/>
      <c r="C448" s="17" t="n"/>
      <c r="D448" s="18" t="n"/>
      <c r="E448" s="18" t="n"/>
      <c r="F448" s="17" t="n"/>
      <c r="G448" s="19" t="n"/>
      <c r="H448" s="20">
        <f>IF($A448="","",MONTH($A448)&amp;"/"&amp;YEAR($A448))</f>
        <v/>
      </c>
      <c r="I448" s="21">
        <f>IF($A448="",0,YEAR($A448)*12+MONTH($A448))</f>
        <v/>
      </c>
    </row>
    <row r="449">
      <c r="A449" s="16" t="n"/>
      <c r="B449" s="17" t="n"/>
      <c r="C449" s="17" t="n"/>
      <c r="D449" s="18" t="n"/>
      <c r="E449" s="18" t="n"/>
      <c r="F449" s="17" t="n"/>
      <c r="G449" s="19" t="n"/>
      <c r="H449" s="20">
        <f>IF($A449="","",MONTH($A449)&amp;"/"&amp;YEAR($A449))</f>
        <v/>
      </c>
      <c r="I449" s="21">
        <f>IF($A449="",0,YEAR($A449)*12+MONTH($A449))</f>
        <v/>
      </c>
    </row>
    <row r="450">
      <c r="A450" s="16" t="n"/>
      <c r="B450" s="17" t="n"/>
      <c r="C450" s="17" t="n"/>
      <c r="D450" s="18" t="n"/>
      <c r="E450" s="18" t="n"/>
      <c r="F450" s="17" t="n"/>
      <c r="G450" s="19" t="n"/>
      <c r="H450" s="20">
        <f>IF($A450="","",MONTH($A450)&amp;"/"&amp;YEAR($A450))</f>
        <v/>
      </c>
      <c r="I450" s="21">
        <f>IF($A450="",0,YEAR($A450)*12+MONTH($A450))</f>
        <v/>
      </c>
    </row>
    <row r="451">
      <c r="A451" s="16" t="n"/>
      <c r="B451" s="17" t="n"/>
      <c r="C451" s="17" t="n"/>
      <c r="D451" s="18" t="n"/>
      <c r="E451" s="18" t="n"/>
      <c r="F451" s="17" t="n"/>
      <c r="G451" s="19" t="n"/>
      <c r="H451" s="20">
        <f>IF($A451="","",MONTH($A451)&amp;"/"&amp;YEAR($A451))</f>
        <v/>
      </c>
      <c r="I451" s="21">
        <f>IF($A451="",0,YEAR($A451)*12+MONTH($A451))</f>
        <v/>
      </c>
    </row>
    <row r="452">
      <c r="A452" s="16" t="n"/>
      <c r="B452" s="17" t="n"/>
      <c r="C452" s="17" t="n"/>
      <c r="D452" s="18" t="n"/>
      <c r="E452" s="18" t="n"/>
      <c r="F452" s="17" t="n"/>
      <c r="G452" s="19" t="n"/>
      <c r="H452" s="20">
        <f>IF($A452="","",MONTH($A452)&amp;"/"&amp;YEAR($A452))</f>
        <v/>
      </c>
      <c r="I452" s="21">
        <f>IF($A452="",0,YEAR($A452)*12+MONTH($A452))</f>
        <v/>
      </c>
    </row>
    <row r="453">
      <c r="A453" s="16" t="n"/>
      <c r="B453" s="17" t="n"/>
      <c r="C453" s="17" t="n"/>
      <c r="D453" s="18" t="n"/>
      <c r="E453" s="18" t="n"/>
      <c r="F453" s="17" t="n"/>
      <c r="G453" s="19" t="n"/>
      <c r="H453" s="20">
        <f>IF($A453="","",MONTH($A453)&amp;"/"&amp;YEAR($A453))</f>
        <v/>
      </c>
      <c r="I453" s="21">
        <f>IF($A453="",0,YEAR($A453)*12+MONTH($A453))</f>
        <v/>
      </c>
    </row>
    <row r="454">
      <c r="A454" s="16" t="n"/>
      <c r="B454" s="17" t="n"/>
      <c r="C454" s="17" t="n"/>
      <c r="D454" s="18" t="n"/>
      <c r="E454" s="18" t="n"/>
      <c r="F454" s="17" t="n"/>
      <c r="G454" s="19" t="n"/>
      <c r="H454" s="20">
        <f>IF($A454="","",MONTH($A454)&amp;"/"&amp;YEAR($A454))</f>
        <v/>
      </c>
      <c r="I454" s="21">
        <f>IF($A454="",0,YEAR($A454)*12+MONTH($A454))</f>
        <v/>
      </c>
    </row>
    <row r="455">
      <c r="A455" s="16" t="n"/>
      <c r="B455" s="17" t="n"/>
      <c r="C455" s="17" t="n"/>
      <c r="D455" s="18" t="n"/>
      <c r="E455" s="18" t="n"/>
      <c r="F455" s="17" t="n"/>
      <c r="G455" s="19" t="n"/>
      <c r="H455" s="20">
        <f>IF($A455="","",MONTH($A455)&amp;"/"&amp;YEAR($A455))</f>
        <v/>
      </c>
      <c r="I455" s="21">
        <f>IF($A455="",0,YEAR($A455)*12+MONTH($A455))</f>
        <v/>
      </c>
    </row>
    <row r="456">
      <c r="A456" s="16" t="n"/>
      <c r="B456" s="17" t="n"/>
      <c r="C456" s="17" t="n"/>
      <c r="D456" s="18" t="n"/>
      <c r="E456" s="18" t="n"/>
      <c r="F456" s="17" t="n"/>
      <c r="G456" s="19" t="n"/>
      <c r="H456" s="20">
        <f>IF($A456="","",MONTH($A456)&amp;"/"&amp;YEAR($A456))</f>
        <v/>
      </c>
      <c r="I456" s="21">
        <f>IF($A456="",0,YEAR($A456)*12+MONTH($A456))</f>
        <v/>
      </c>
    </row>
    <row r="457">
      <c r="A457" s="16" t="n"/>
      <c r="B457" s="17" t="n"/>
      <c r="C457" s="17" t="n"/>
      <c r="D457" s="18" t="n"/>
      <c r="E457" s="18" t="n"/>
      <c r="F457" s="17" t="n"/>
      <c r="G457" s="19" t="n"/>
      <c r="H457" s="20">
        <f>IF($A457="","",MONTH($A457)&amp;"/"&amp;YEAR($A457))</f>
        <v/>
      </c>
      <c r="I457" s="21">
        <f>IF($A457="",0,YEAR($A457)*12+MONTH($A457))</f>
        <v/>
      </c>
    </row>
    <row r="458">
      <c r="A458" s="16" t="n"/>
      <c r="B458" s="17" t="n"/>
      <c r="C458" s="17" t="n"/>
      <c r="D458" s="18" t="n"/>
      <c r="E458" s="18" t="n"/>
      <c r="F458" s="17" t="n"/>
      <c r="G458" s="19" t="n"/>
      <c r="H458" s="20">
        <f>IF($A458="","",MONTH($A458)&amp;"/"&amp;YEAR($A458))</f>
        <v/>
      </c>
      <c r="I458" s="21">
        <f>IF($A458="",0,YEAR($A458)*12+MONTH($A458))</f>
        <v/>
      </c>
    </row>
    <row r="459">
      <c r="A459" s="16" t="n"/>
      <c r="B459" s="17" t="n"/>
      <c r="C459" s="17" t="n"/>
      <c r="D459" s="18" t="n"/>
      <c r="E459" s="18" t="n"/>
      <c r="F459" s="17" t="n"/>
      <c r="G459" s="19" t="n"/>
      <c r="H459" s="20">
        <f>IF($A459="","",MONTH($A459)&amp;"/"&amp;YEAR($A459))</f>
        <v/>
      </c>
      <c r="I459" s="21">
        <f>IF($A459="",0,YEAR($A459)*12+MONTH($A459))</f>
        <v/>
      </c>
    </row>
    <row r="460">
      <c r="A460" s="16" t="n"/>
      <c r="B460" s="17" t="n"/>
      <c r="C460" s="17" t="n"/>
      <c r="D460" s="18" t="n"/>
      <c r="E460" s="18" t="n"/>
      <c r="F460" s="17" t="n"/>
      <c r="G460" s="19" t="n"/>
      <c r="H460" s="20">
        <f>IF($A460="","",MONTH($A460)&amp;"/"&amp;YEAR($A460))</f>
        <v/>
      </c>
      <c r="I460" s="21">
        <f>IF($A460="",0,YEAR($A460)*12+MONTH($A460))</f>
        <v/>
      </c>
    </row>
    <row r="461">
      <c r="A461" s="16" t="n"/>
      <c r="B461" s="17" t="n"/>
      <c r="C461" s="17" t="n"/>
      <c r="D461" s="18" t="n"/>
      <c r="E461" s="18" t="n"/>
      <c r="F461" s="17" t="n"/>
      <c r="G461" s="19" t="n"/>
      <c r="H461" s="20">
        <f>IF($A461="","",MONTH($A461)&amp;"/"&amp;YEAR($A461))</f>
        <v/>
      </c>
      <c r="I461" s="21">
        <f>IF($A461="",0,YEAR($A461)*12+MONTH($A461))</f>
        <v/>
      </c>
    </row>
    <row r="462">
      <c r="A462" s="16" t="n"/>
      <c r="B462" s="17" t="n"/>
      <c r="C462" s="17" t="n"/>
      <c r="D462" s="18" t="n"/>
      <c r="E462" s="18" t="n"/>
      <c r="F462" s="17" t="n"/>
      <c r="G462" s="19" t="n"/>
      <c r="H462" s="20">
        <f>IF($A462="","",MONTH($A462)&amp;"/"&amp;YEAR($A462))</f>
        <v/>
      </c>
      <c r="I462" s="21">
        <f>IF($A462="",0,YEAR($A462)*12+MONTH($A462))</f>
        <v/>
      </c>
    </row>
    <row r="463">
      <c r="A463" s="16" t="n"/>
      <c r="B463" s="17" t="n"/>
      <c r="C463" s="17" t="n"/>
      <c r="D463" s="18" t="n"/>
      <c r="E463" s="18" t="n"/>
      <c r="F463" s="17" t="n"/>
      <c r="G463" s="19" t="n"/>
      <c r="H463" s="20">
        <f>IF($A463="","",MONTH($A463)&amp;"/"&amp;YEAR($A463))</f>
        <v/>
      </c>
      <c r="I463" s="21">
        <f>IF($A463="",0,YEAR($A463)*12+MONTH($A463))</f>
        <v/>
      </c>
    </row>
    <row r="464">
      <c r="A464" s="16" t="n"/>
      <c r="B464" s="17" t="n"/>
      <c r="C464" s="17" t="n"/>
      <c r="D464" s="18" t="n"/>
      <c r="E464" s="18" t="n"/>
      <c r="F464" s="17" t="n"/>
      <c r="G464" s="19" t="n"/>
      <c r="H464" s="20">
        <f>IF($A464="","",MONTH($A464)&amp;"/"&amp;YEAR($A464))</f>
        <v/>
      </c>
      <c r="I464" s="21">
        <f>IF($A464="",0,YEAR($A464)*12+MONTH($A464))</f>
        <v/>
      </c>
    </row>
    <row r="465">
      <c r="A465" s="16" t="n"/>
      <c r="B465" s="17" t="n"/>
      <c r="C465" s="17" t="n"/>
      <c r="D465" s="18" t="n"/>
      <c r="E465" s="18" t="n"/>
      <c r="F465" s="17" t="n"/>
      <c r="G465" s="19" t="n"/>
      <c r="H465" s="20">
        <f>IF($A465="","",MONTH($A465)&amp;"/"&amp;YEAR($A465))</f>
        <v/>
      </c>
      <c r="I465" s="21">
        <f>IF($A465="",0,YEAR($A465)*12+MONTH($A465))</f>
        <v/>
      </c>
    </row>
    <row r="466">
      <c r="A466" s="16" t="n"/>
      <c r="B466" s="17" t="n"/>
      <c r="C466" s="17" t="n"/>
      <c r="D466" s="18" t="n"/>
      <c r="E466" s="18" t="n"/>
      <c r="F466" s="17" t="n"/>
      <c r="G466" s="19" t="n"/>
      <c r="H466" s="20">
        <f>IF($A466="","",MONTH($A466)&amp;"/"&amp;YEAR($A466))</f>
        <v/>
      </c>
      <c r="I466" s="21">
        <f>IF($A466="",0,YEAR($A466)*12+MONTH($A466))</f>
        <v/>
      </c>
    </row>
    <row r="467">
      <c r="A467" s="16" t="n"/>
      <c r="B467" s="17" t="n"/>
      <c r="C467" s="17" t="n"/>
      <c r="D467" s="18" t="n"/>
      <c r="E467" s="18" t="n"/>
      <c r="F467" s="17" t="n"/>
      <c r="G467" s="19" t="n"/>
      <c r="H467" s="20">
        <f>IF($A467="","",MONTH($A467)&amp;"/"&amp;YEAR($A467))</f>
        <v/>
      </c>
      <c r="I467" s="21">
        <f>IF($A467="",0,YEAR($A467)*12+MONTH($A467))</f>
        <v/>
      </c>
    </row>
    <row r="468">
      <c r="A468" s="16" t="n"/>
      <c r="B468" s="17" t="n"/>
      <c r="C468" s="17" t="n"/>
      <c r="D468" s="18" t="n"/>
      <c r="E468" s="18" t="n"/>
      <c r="F468" s="17" t="n"/>
      <c r="G468" s="19" t="n"/>
      <c r="H468" s="20">
        <f>IF($A468="","",MONTH($A468)&amp;"/"&amp;YEAR($A468))</f>
        <v/>
      </c>
      <c r="I468" s="21">
        <f>IF($A468="",0,YEAR($A468)*12+MONTH($A468))</f>
        <v/>
      </c>
    </row>
    <row r="469">
      <c r="A469" s="16" t="n"/>
      <c r="B469" s="17" t="n"/>
      <c r="C469" s="17" t="n"/>
      <c r="D469" s="18" t="n"/>
      <c r="E469" s="18" t="n"/>
      <c r="F469" s="17" t="n"/>
      <c r="G469" s="19" t="n"/>
      <c r="H469" s="20">
        <f>IF($A469="","",MONTH($A469)&amp;"/"&amp;YEAR($A469))</f>
        <v/>
      </c>
      <c r="I469" s="21">
        <f>IF($A469="",0,YEAR($A469)*12+MONTH($A469))</f>
        <v/>
      </c>
    </row>
    <row r="470">
      <c r="A470" s="16" t="n"/>
      <c r="B470" s="17" t="n"/>
      <c r="C470" s="17" t="n"/>
      <c r="D470" s="18" t="n"/>
      <c r="E470" s="18" t="n"/>
      <c r="F470" s="17" t="n"/>
      <c r="G470" s="19" t="n"/>
      <c r="H470" s="20">
        <f>IF($A470="","",MONTH($A470)&amp;"/"&amp;YEAR($A470))</f>
        <v/>
      </c>
      <c r="I470" s="21">
        <f>IF($A470="",0,YEAR($A470)*12+MONTH($A470))</f>
        <v/>
      </c>
    </row>
    <row r="471">
      <c r="A471" s="16" t="n"/>
      <c r="B471" s="17" t="n"/>
      <c r="C471" s="17" t="n"/>
      <c r="D471" s="18" t="n"/>
      <c r="E471" s="18" t="n"/>
      <c r="F471" s="17" t="n"/>
      <c r="G471" s="19" t="n"/>
      <c r="H471" s="20">
        <f>IF($A471="","",MONTH($A471)&amp;"/"&amp;YEAR($A471))</f>
        <v/>
      </c>
      <c r="I471" s="21">
        <f>IF($A471="",0,YEAR($A471)*12+MONTH($A471))</f>
        <v/>
      </c>
    </row>
    <row r="472">
      <c r="A472" s="16" t="n"/>
      <c r="B472" s="17" t="n"/>
      <c r="C472" s="17" t="n"/>
      <c r="D472" s="18" t="n"/>
      <c r="E472" s="18" t="n"/>
      <c r="F472" s="17" t="n"/>
      <c r="G472" s="19" t="n"/>
      <c r="H472" s="20">
        <f>IF($A472="","",MONTH($A472)&amp;"/"&amp;YEAR($A472))</f>
        <v/>
      </c>
      <c r="I472" s="21">
        <f>IF($A472="",0,YEAR($A472)*12+MONTH($A472))</f>
        <v/>
      </c>
    </row>
    <row r="473">
      <c r="A473" s="16" t="n"/>
      <c r="B473" s="17" t="n"/>
      <c r="C473" s="17" t="n"/>
      <c r="D473" s="18" t="n"/>
      <c r="E473" s="18" t="n"/>
      <c r="F473" s="17" t="n"/>
      <c r="G473" s="19" t="n"/>
      <c r="H473" s="20">
        <f>IF($A473="","",MONTH($A473)&amp;"/"&amp;YEAR($A473))</f>
        <v/>
      </c>
      <c r="I473" s="21">
        <f>IF($A473="",0,YEAR($A473)*12+MONTH($A473))</f>
        <v/>
      </c>
    </row>
    <row r="474">
      <c r="A474" s="16" t="n"/>
      <c r="B474" s="17" t="n"/>
      <c r="C474" s="17" t="n"/>
      <c r="D474" s="18" t="n"/>
      <c r="E474" s="18" t="n"/>
      <c r="F474" s="17" t="n"/>
      <c r="G474" s="19" t="n"/>
      <c r="H474" s="20">
        <f>IF($A474="","",MONTH($A474)&amp;"/"&amp;YEAR($A474))</f>
        <v/>
      </c>
      <c r="I474" s="21">
        <f>IF($A474="",0,YEAR($A474)*12+MONTH($A474))</f>
        <v/>
      </c>
    </row>
    <row r="475">
      <c r="A475" s="16" t="n"/>
      <c r="B475" s="17" t="n"/>
      <c r="C475" s="17" t="n"/>
      <c r="D475" s="18" t="n"/>
      <c r="E475" s="18" t="n"/>
      <c r="F475" s="17" t="n"/>
      <c r="G475" s="19" t="n"/>
      <c r="H475" s="20">
        <f>IF($A475="","",MONTH($A475)&amp;"/"&amp;YEAR($A475))</f>
        <v/>
      </c>
      <c r="I475" s="21">
        <f>IF($A475="",0,YEAR($A475)*12+MONTH($A475))</f>
        <v/>
      </c>
    </row>
    <row r="476">
      <c r="A476" s="16" t="n"/>
      <c r="B476" s="17" t="n"/>
      <c r="C476" s="17" t="n"/>
      <c r="D476" s="18" t="n"/>
      <c r="E476" s="18" t="n"/>
      <c r="F476" s="17" t="n"/>
      <c r="G476" s="19" t="n"/>
      <c r="H476" s="20">
        <f>IF($A476="","",MONTH($A476)&amp;"/"&amp;YEAR($A476))</f>
        <v/>
      </c>
      <c r="I476" s="21">
        <f>IF($A476="",0,YEAR($A476)*12+MONTH($A476))</f>
        <v/>
      </c>
    </row>
    <row r="477">
      <c r="A477" s="16" t="n"/>
      <c r="B477" s="17" t="n"/>
      <c r="C477" s="17" t="n"/>
      <c r="D477" s="18" t="n"/>
      <c r="E477" s="18" t="n"/>
      <c r="F477" s="17" t="n"/>
      <c r="G477" s="19" t="n"/>
      <c r="H477" s="20">
        <f>IF($A477="","",MONTH($A477)&amp;"/"&amp;YEAR($A477))</f>
        <v/>
      </c>
      <c r="I477" s="21">
        <f>IF($A477="",0,YEAR($A477)*12+MONTH($A477))</f>
        <v/>
      </c>
    </row>
    <row r="478">
      <c r="A478" s="16" t="n"/>
      <c r="B478" s="17" t="n"/>
      <c r="C478" s="17" t="n"/>
      <c r="D478" s="18" t="n"/>
      <c r="E478" s="18" t="n"/>
      <c r="F478" s="17" t="n"/>
      <c r="G478" s="19" t="n"/>
      <c r="H478" s="20">
        <f>IF($A478="","",MONTH($A478)&amp;"/"&amp;YEAR($A478))</f>
        <v/>
      </c>
      <c r="I478" s="21">
        <f>IF($A478="",0,YEAR($A478)*12+MONTH($A478))</f>
        <v/>
      </c>
    </row>
    <row r="479">
      <c r="A479" s="16" t="n"/>
      <c r="B479" s="17" t="n"/>
      <c r="C479" s="17" t="n"/>
      <c r="D479" s="18" t="n"/>
      <c r="E479" s="18" t="n"/>
      <c r="F479" s="17" t="n"/>
      <c r="G479" s="19" t="n"/>
      <c r="H479" s="20">
        <f>IF($A479="","",MONTH($A479)&amp;"/"&amp;YEAR($A479))</f>
        <v/>
      </c>
      <c r="I479" s="21">
        <f>IF($A479="",0,YEAR($A479)*12+MONTH($A479))</f>
        <v/>
      </c>
    </row>
    <row r="480">
      <c r="A480" s="16" t="n"/>
      <c r="B480" s="17" t="n"/>
      <c r="C480" s="17" t="n"/>
      <c r="D480" s="18" t="n"/>
      <c r="E480" s="18" t="n"/>
      <c r="F480" s="17" t="n"/>
      <c r="G480" s="19" t="n"/>
      <c r="H480" s="20">
        <f>IF($A480="","",MONTH($A480)&amp;"/"&amp;YEAR($A480))</f>
        <v/>
      </c>
      <c r="I480" s="21">
        <f>IF($A480="",0,YEAR($A480)*12+MONTH($A480))</f>
        <v/>
      </c>
    </row>
    <row r="481">
      <c r="A481" s="16" t="n"/>
      <c r="B481" s="17" t="n"/>
      <c r="C481" s="17" t="n"/>
      <c r="D481" s="18" t="n"/>
      <c r="E481" s="18" t="n"/>
      <c r="F481" s="17" t="n"/>
      <c r="G481" s="19" t="n"/>
      <c r="H481" s="20">
        <f>IF($A481="","",MONTH($A481)&amp;"/"&amp;YEAR($A481))</f>
        <v/>
      </c>
      <c r="I481" s="21">
        <f>IF($A481="",0,YEAR($A481)*12+MONTH($A481))</f>
        <v/>
      </c>
    </row>
    <row r="482">
      <c r="A482" s="16" t="n"/>
      <c r="B482" s="17" t="n"/>
      <c r="C482" s="17" t="n"/>
      <c r="D482" s="18" t="n"/>
      <c r="E482" s="18" t="n"/>
      <c r="F482" s="17" t="n"/>
      <c r="G482" s="19" t="n"/>
      <c r="H482" s="20">
        <f>IF($A482="","",MONTH($A482)&amp;"/"&amp;YEAR($A482))</f>
        <v/>
      </c>
      <c r="I482" s="21">
        <f>IF($A482="",0,YEAR($A482)*12+MONTH($A482))</f>
        <v/>
      </c>
    </row>
    <row r="483">
      <c r="A483" s="16" t="n"/>
      <c r="B483" s="17" t="n"/>
      <c r="C483" s="17" t="n"/>
      <c r="D483" s="18" t="n"/>
      <c r="E483" s="18" t="n"/>
      <c r="F483" s="17" t="n"/>
      <c r="G483" s="19" t="n"/>
      <c r="H483" s="20">
        <f>IF($A483="","",MONTH($A483)&amp;"/"&amp;YEAR($A483))</f>
        <v/>
      </c>
      <c r="I483" s="21">
        <f>IF($A483="",0,YEAR($A483)*12+MONTH($A483))</f>
        <v/>
      </c>
    </row>
    <row r="484">
      <c r="A484" s="16" t="n"/>
      <c r="B484" s="17" t="n"/>
      <c r="C484" s="17" t="n"/>
      <c r="D484" s="18" t="n"/>
      <c r="E484" s="18" t="n"/>
      <c r="F484" s="17" t="n"/>
      <c r="G484" s="19" t="n"/>
      <c r="H484" s="20">
        <f>IF($A484="","",MONTH($A484)&amp;"/"&amp;YEAR($A484))</f>
        <v/>
      </c>
      <c r="I484" s="21">
        <f>IF($A484="",0,YEAR($A484)*12+MONTH($A484))</f>
        <v/>
      </c>
    </row>
    <row r="485">
      <c r="A485" s="16" t="n"/>
      <c r="B485" s="17" t="n"/>
      <c r="C485" s="17" t="n"/>
      <c r="D485" s="18" t="n"/>
      <c r="E485" s="18" t="n"/>
      <c r="F485" s="17" t="n"/>
      <c r="G485" s="19" t="n"/>
      <c r="H485" s="20">
        <f>IF($A485="","",MONTH($A485)&amp;"/"&amp;YEAR($A485))</f>
        <v/>
      </c>
      <c r="I485" s="21">
        <f>IF($A485="",0,YEAR($A485)*12+MONTH($A485))</f>
        <v/>
      </c>
    </row>
    <row r="486">
      <c r="A486" s="16" t="n"/>
      <c r="B486" s="17" t="n"/>
      <c r="C486" s="17" t="n"/>
      <c r="D486" s="18" t="n"/>
      <c r="E486" s="18" t="n"/>
      <c r="F486" s="17" t="n"/>
      <c r="G486" s="19" t="n"/>
      <c r="H486" s="20">
        <f>IF($A486="","",MONTH($A486)&amp;"/"&amp;YEAR($A486))</f>
        <v/>
      </c>
      <c r="I486" s="21">
        <f>IF($A486="",0,YEAR($A486)*12+MONTH($A486))</f>
        <v/>
      </c>
    </row>
    <row r="487">
      <c r="A487" s="16" t="n"/>
      <c r="B487" s="17" t="n"/>
      <c r="C487" s="17" t="n"/>
      <c r="D487" s="18" t="n"/>
      <c r="E487" s="18" t="n"/>
      <c r="F487" s="17" t="n"/>
      <c r="G487" s="19" t="n"/>
      <c r="H487" s="20">
        <f>IF($A487="","",MONTH($A487)&amp;"/"&amp;YEAR($A487))</f>
        <v/>
      </c>
      <c r="I487" s="21">
        <f>IF($A487="",0,YEAR($A487)*12+MONTH($A487))</f>
        <v/>
      </c>
    </row>
    <row r="488">
      <c r="A488" s="16" t="n"/>
      <c r="B488" s="17" t="n"/>
      <c r="C488" s="17" t="n"/>
      <c r="D488" s="18" t="n"/>
      <c r="E488" s="18" t="n"/>
      <c r="F488" s="17" t="n"/>
      <c r="G488" s="19" t="n"/>
      <c r="H488" s="20">
        <f>IF($A488="","",MONTH($A488)&amp;"/"&amp;YEAR($A488))</f>
        <v/>
      </c>
      <c r="I488" s="21">
        <f>IF($A488="",0,YEAR($A488)*12+MONTH($A488))</f>
        <v/>
      </c>
    </row>
    <row r="489">
      <c r="A489" s="16" t="n"/>
      <c r="B489" s="17" t="n"/>
      <c r="C489" s="17" t="n"/>
      <c r="D489" s="18" t="n"/>
      <c r="E489" s="18" t="n"/>
      <c r="F489" s="17" t="n"/>
      <c r="G489" s="19" t="n"/>
      <c r="H489" s="20">
        <f>IF($A489="","",MONTH($A489)&amp;"/"&amp;YEAR($A489))</f>
        <v/>
      </c>
      <c r="I489" s="21">
        <f>IF($A489="",0,YEAR($A489)*12+MONTH($A489))</f>
        <v/>
      </c>
    </row>
    <row r="490">
      <c r="A490" s="16" t="n"/>
      <c r="B490" s="17" t="n"/>
      <c r="C490" s="17" t="n"/>
      <c r="D490" s="18" t="n"/>
      <c r="E490" s="18" t="n"/>
      <c r="F490" s="17" t="n"/>
      <c r="G490" s="19" t="n"/>
      <c r="H490" s="20">
        <f>IF($A490="","",MONTH($A490)&amp;"/"&amp;YEAR($A490))</f>
        <v/>
      </c>
      <c r="I490" s="21">
        <f>IF($A490="",0,YEAR($A490)*12+MONTH($A490))</f>
        <v/>
      </c>
    </row>
    <row r="491">
      <c r="A491" s="16" t="n"/>
      <c r="B491" s="17" t="n"/>
      <c r="C491" s="17" t="n"/>
      <c r="D491" s="18" t="n"/>
      <c r="E491" s="18" t="n"/>
      <c r="F491" s="17" t="n"/>
      <c r="G491" s="19" t="n"/>
      <c r="H491" s="20">
        <f>IF($A491="","",MONTH($A491)&amp;"/"&amp;YEAR($A491))</f>
        <v/>
      </c>
      <c r="I491" s="21">
        <f>IF($A491="",0,YEAR($A491)*12+MONTH($A491))</f>
        <v/>
      </c>
    </row>
    <row r="492">
      <c r="A492" s="16" t="n"/>
      <c r="B492" s="17" t="n"/>
      <c r="C492" s="17" t="n"/>
      <c r="D492" s="18" t="n"/>
      <c r="E492" s="18" t="n"/>
      <c r="F492" s="17" t="n"/>
      <c r="G492" s="19" t="n"/>
      <c r="H492" s="20">
        <f>IF($A492="","",MONTH($A492)&amp;"/"&amp;YEAR($A492))</f>
        <v/>
      </c>
      <c r="I492" s="21">
        <f>IF($A492="",0,YEAR($A492)*12+MONTH($A492))</f>
        <v/>
      </c>
    </row>
    <row r="493">
      <c r="A493" s="16" t="n"/>
      <c r="B493" s="17" t="n"/>
      <c r="C493" s="17" t="n"/>
      <c r="D493" s="18" t="n"/>
      <c r="E493" s="18" t="n"/>
      <c r="F493" s="17" t="n"/>
      <c r="G493" s="19" t="n"/>
      <c r="H493" s="20">
        <f>IF($A493="","",MONTH($A493)&amp;"/"&amp;YEAR($A493))</f>
        <v/>
      </c>
      <c r="I493" s="21">
        <f>IF($A493="",0,YEAR($A493)*12+MONTH($A493))</f>
        <v/>
      </c>
    </row>
    <row r="494">
      <c r="A494" s="16" t="n"/>
      <c r="B494" s="17" t="n"/>
      <c r="C494" s="17" t="n"/>
      <c r="D494" s="18" t="n"/>
      <c r="E494" s="18" t="n"/>
      <c r="F494" s="17" t="n"/>
      <c r="G494" s="19" t="n"/>
      <c r="H494" s="20">
        <f>IF($A494="","",MONTH($A494)&amp;"/"&amp;YEAR($A494))</f>
        <v/>
      </c>
      <c r="I494" s="21">
        <f>IF($A494="",0,YEAR($A494)*12+MONTH($A494))</f>
        <v/>
      </c>
    </row>
    <row r="495">
      <c r="A495" s="16" t="n"/>
      <c r="B495" s="17" t="n"/>
      <c r="C495" s="17" t="n"/>
      <c r="D495" s="18" t="n"/>
      <c r="E495" s="18" t="n"/>
      <c r="F495" s="17" t="n"/>
      <c r="G495" s="19" t="n"/>
      <c r="H495" s="20">
        <f>IF($A495="","",MONTH($A495)&amp;"/"&amp;YEAR($A495))</f>
        <v/>
      </c>
      <c r="I495" s="21">
        <f>IF($A495="",0,YEAR($A495)*12+MONTH($A495))</f>
        <v/>
      </c>
    </row>
    <row r="496">
      <c r="A496" s="16" t="n"/>
      <c r="B496" s="17" t="n"/>
      <c r="C496" s="17" t="n"/>
      <c r="D496" s="18" t="n"/>
      <c r="E496" s="18" t="n"/>
      <c r="F496" s="17" t="n"/>
      <c r="G496" s="19" t="n"/>
      <c r="H496" s="20">
        <f>IF($A496="","",MONTH($A496)&amp;"/"&amp;YEAR($A496))</f>
        <v/>
      </c>
      <c r="I496" s="21">
        <f>IF($A496="",0,YEAR($A496)*12+MONTH($A496))</f>
        <v/>
      </c>
    </row>
    <row r="497">
      <c r="A497" s="16" t="n"/>
      <c r="B497" s="17" t="n"/>
      <c r="C497" s="17" t="n"/>
      <c r="D497" s="18" t="n"/>
      <c r="E497" s="18" t="n"/>
      <c r="F497" s="17" t="n"/>
      <c r="G497" s="19" t="n"/>
      <c r="H497" s="20">
        <f>IF($A497="","",MONTH($A497)&amp;"/"&amp;YEAR($A497))</f>
        <v/>
      </c>
      <c r="I497" s="21">
        <f>IF($A497="",0,YEAR($A497)*12+MONTH($A497))</f>
        <v/>
      </c>
    </row>
    <row r="498">
      <c r="A498" s="16" t="n"/>
      <c r="B498" s="17" t="n"/>
      <c r="C498" s="17" t="n"/>
      <c r="D498" s="18" t="n"/>
      <c r="E498" s="18" t="n"/>
      <c r="F498" s="17" t="n"/>
      <c r="G498" s="19" t="n"/>
      <c r="H498" s="20">
        <f>IF($A498="","",MONTH($A498)&amp;"/"&amp;YEAR($A498))</f>
        <v/>
      </c>
      <c r="I498" s="21">
        <f>IF($A498="",0,YEAR($A498)*12+MONTH($A498))</f>
        <v/>
      </c>
    </row>
    <row r="499">
      <c r="A499" s="16" t="n"/>
      <c r="B499" s="17" t="n"/>
      <c r="C499" s="17" t="n"/>
      <c r="D499" s="18" t="n"/>
      <c r="E499" s="18" t="n"/>
      <c r="F499" s="17" t="n"/>
      <c r="G499" s="19" t="n"/>
      <c r="H499" s="20">
        <f>IF($A499="","",MONTH($A499)&amp;"/"&amp;YEAR($A499))</f>
        <v/>
      </c>
      <c r="I499" s="21">
        <f>IF($A499="",0,YEAR($A499)*12+MONTH($A499))</f>
        <v/>
      </c>
    </row>
    <row r="500">
      <c r="A500" s="16" t="n"/>
      <c r="B500" s="17" t="n"/>
      <c r="C500" s="17" t="n"/>
      <c r="D500" s="18" t="n"/>
      <c r="E500" s="18" t="n"/>
      <c r="F500" s="17" t="n"/>
      <c r="G500" s="19" t="n"/>
      <c r="H500" s="20">
        <f>IF($A500="","",MONTH($A500)&amp;"/"&amp;YEAR($A500))</f>
        <v/>
      </c>
      <c r="I500" s="21">
        <f>IF($A500="",0,YEAR($A500)*12+MONTH($A500))</f>
        <v/>
      </c>
    </row>
    <row r="501">
      <c r="A501" s="16" t="n"/>
      <c r="B501" s="17" t="n"/>
      <c r="C501" s="17" t="n"/>
      <c r="D501" s="18" t="n"/>
      <c r="E501" s="18" t="n"/>
      <c r="F501" s="17" t="n"/>
      <c r="G501" s="19" t="n"/>
      <c r="H501" s="20">
        <f>IF($A501="","",MONTH($A501)&amp;"/"&amp;YEAR($A501))</f>
        <v/>
      </c>
      <c r="I501" s="21">
        <f>IF($A501="",0,YEAR($A501)*12+MONTH($A501))</f>
        <v/>
      </c>
    </row>
    <row r="502">
      <c r="A502" s="16" t="n"/>
      <c r="B502" s="17" t="n"/>
      <c r="C502" s="17" t="n"/>
      <c r="D502" s="18" t="n"/>
      <c r="E502" s="18" t="n"/>
      <c r="F502" s="17" t="n"/>
      <c r="G502" s="19" t="n"/>
      <c r="H502" s="20">
        <f>IF($A502="","",MONTH($A502)&amp;"/"&amp;YEAR($A502))</f>
        <v/>
      </c>
      <c r="I502" s="21">
        <f>IF($A502="",0,YEAR($A502)*12+MONTH($A502))</f>
        <v/>
      </c>
    </row>
    <row r="503">
      <c r="A503" s="16" t="n"/>
      <c r="B503" s="17" t="n"/>
      <c r="C503" s="17" t="n"/>
      <c r="D503" s="18" t="n"/>
      <c r="E503" s="18" t="n"/>
      <c r="F503" s="17" t="n"/>
      <c r="G503" s="19" t="n"/>
      <c r="H503" s="20">
        <f>IF($A503="","",MONTH($A503)&amp;"/"&amp;YEAR($A503))</f>
        <v/>
      </c>
      <c r="I503" s="21">
        <f>IF($A503="",0,YEAR($A503)*12+MONTH($A503))</f>
        <v/>
      </c>
    </row>
    <row r="504">
      <c r="A504" s="16" t="n"/>
      <c r="B504" s="17" t="n"/>
      <c r="C504" s="17" t="n"/>
      <c r="D504" s="18" t="n"/>
      <c r="E504" s="18" t="n"/>
      <c r="F504" s="17" t="n"/>
      <c r="G504" s="19" t="n"/>
      <c r="H504" s="20">
        <f>IF($A504="","",MONTH($A504)&amp;"/"&amp;YEAR($A504))</f>
        <v/>
      </c>
      <c r="I504" s="21">
        <f>IF($A504="",0,YEAR($A504)*12+MONTH($A504))</f>
        <v/>
      </c>
    </row>
    <row r="505">
      <c r="A505" s="16" t="n"/>
      <c r="B505" s="17" t="n"/>
      <c r="C505" s="17" t="n"/>
      <c r="D505" s="18" t="n"/>
      <c r="E505" s="18" t="n"/>
      <c r="F505" s="17" t="n"/>
      <c r="G505" s="19" t="n"/>
      <c r="H505" s="20">
        <f>IF($A505="","",MONTH($A505)&amp;"/"&amp;YEAR($A505))</f>
        <v/>
      </c>
      <c r="I505" s="21">
        <f>IF($A505="",0,YEAR($A505)*12+MONTH($A505))</f>
        <v/>
      </c>
    </row>
    <row r="506">
      <c r="A506" s="16" t="n"/>
      <c r="B506" s="17" t="n"/>
      <c r="C506" s="17" t="n"/>
      <c r="D506" s="18" t="n"/>
      <c r="E506" s="18" t="n"/>
      <c r="F506" s="17" t="n"/>
      <c r="G506" s="19" t="n"/>
      <c r="H506" s="20">
        <f>IF($A506="","",MONTH($A506)&amp;"/"&amp;YEAR($A506))</f>
        <v/>
      </c>
      <c r="I506" s="21">
        <f>IF($A506="",0,YEAR($A506)*12+MONTH($A506))</f>
        <v/>
      </c>
    </row>
    <row r="507">
      <c r="A507" s="16" t="n"/>
      <c r="B507" s="17" t="n"/>
      <c r="C507" s="17" t="n"/>
      <c r="D507" s="18" t="n"/>
      <c r="E507" s="18" t="n"/>
      <c r="F507" s="17" t="n"/>
      <c r="G507" s="19" t="n"/>
      <c r="H507" s="20">
        <f>IF($A507="","",MONTH($A507)&amp;"/"&amp;YEAR($A507))</f>
        <v/>
      </c>
      <c r="I507" s="21">
        <f>IF($A507="",0,YEAR($A507)*12+MONTH($A507))</f>
        <v/>
      </c>
    </row>
    <row r="508">
      <c r="A508" s="16" t="n"/>
      <c r="B508" s="17" t="n"/>
      <c r="C508" s="17" t="n"/>
      <c r="D508" s="18" t="n"/>
      <c r="E508" s="18" t="n"/>
      <c r="F508" s="17" t="n"/>
      <c r="G508" s="19" t="n"/>
      <c r="H508" s="20">
        <f>IF($A508="","",MONTH($A508)&amp;"/"&amp;YEAR($A508))</f>
        <v/>
      </c>
      <c r="I508" s="21">
        <f>IF($A508="",0,YEAR($A508)*12+MONTH($A508))</f>
        <v/>
      </c>
    </row>
    <row r="509">
      <c r="A509" s="16" t="n"/>
      <c r="B509" s="17" t="n"/>
      <c r="C509" s="17" t="n"/>
      <c r="D509" s="18" t="n"/>
      <c r="E509" s="18" t="n"/>
      <c r="F509" s="17" t="n"/>
      <c r="G509" s="19" t="n"/>
      <c r="H509" s="20">
        <f>IF($A509="","",MONTH($A509)&amp;"/"&amp;YEAR($A509))</f>
        <v/>
      </c>
      <c r="I509" s="21">
        <f>IF($A509="",0,YEAR($A509)*12+MONTH($A509))</f>
        <v/>
      </c>
    </row>
    <row r="510">
      <c r="A510" s="16" t="n"/>
      <c r="B510" s="17" t="n"/>
      <c r="C510" s="17" t="n"/>
      <c r="D510" s="18" t="n"/>
      <c r="E510" s="18" t="n"/>
      <c r="F510" s="17" t="n"/>
      <c r="G510" s="19" t="n"/>
      <c r="H510" s="20">
        <f>IF($A510="","",MONTH($A510)&amp;"/"&amp;YEAR($A510))</f>
        <v/>
      </c>
      <c r="I510" s="21">
        <f>IF($A510="",0,YEAR($A510)*12+MONTH($A510))</f>
        <v/>
      </c>
    </row>
    <row r="511">
      <c r="A511" s="16" t="n"/>
      <c r="B511" s="17" t="n"/>
      <c r="C511" s="17" t="n"/>
      <c r="D511" s="18" t="n"/>
      <c r="E511" s="18" t="n"/>
      <c r="F511" s="17" t="n"/>
      <c r="G511" s="19" t="n"/>
      <c r="H511" s="20">
        <f>IF($A511="","",MONTH($A511)&amp;"/"&amp;YEAR($A511))</f>
        <v/>
      </c>
      <c r="I511" s="21">
        <f>IF($A511="",0,YEAR($A511)*12+MONTH($A511))</f>
        <v/>
      </c>
    </row>
    <row r="512">
      <c r="A512" s="16" t="n"/>
      <c r="B512" s="17" t="n"/>
      <c r="C512" s="17" t="n"/>
      <c r="D512" s="18" t="n"/>
      <c r="E512" s="18" t="n"/>
      <c r="F512" s="17" t="n"/>
      <c r="G512" s="19" t="n"/>
      <c r="H512" s="20">
        <f>IF($A512="","",MONTH($A512)&amp;"/"&amp;YEAR($A512))</f>
        <v/>
      </c>
      <c r="I512" s="21">
        <f>IF($A512="",0,YEAR($A512)*12+MONTH($A512))</f>
        <v/>
      </c>
    </row>
    <row r="513">
      <c r="A513" s="16" t="n"/>
      <c r="B513" s="17" t="n"/>
      <c r="C513" s="17" t="n"/>
      <c r="D513" s="18" t="n"/>
      <c r="E513" s="18" t="n"/>
      <c r="F513" s="17" t="n"/>
      <c r="G513" s="19" t="n"/>
      <c r="H513" s="20">
        <f>IF($A513="","",MONTH($A513)&amp;"/"&amp;YEAR($A513))</f>
        <v/>
      </c>
      <c r="I513" s="21">
        <f>IF($A513="",0,YEAR($A513)*12+MONTH($A513))</f>
        <v/>
      </c>
    </row>
    <row r="514">
      <c r="A514" s="16" t="n"/>
      <c r="B514" s="17" t="n"/>
      <c r="C514" s="17" t="n"/>
      <c r="D514" s="18" t="n"/>
      <c r="E514" s="18" t="n"/>
      <c r="F514" s="17" t="n"/>
      <c r="G514" s="19" t="n"/>
      <c r="H514" s="20">
        <f>IF($A514="","",MONTH($A514)&amp;"/"&amp;YEAR($A514))</f>
        <v/>
      </c>
      <c r="I514" s="21">
        <f>IF($A514="",0,YEAR($A514)*12+MONTH($A514))</f>
        <v/>
      </c>
    </row>
    <row r="515">
      <c r="A515" s="16" t="n"/>
      <c r="B515" s="17" t="n"/>
      <c r="C515" s="17" t="n"/>
      <c r="D515" s="18" t="n"/>
      <c r="E515" s="18" t="n"/>
      <c r="F515" s="17" t="n"/>
      <c r="G515" s="19" t="n"/>
      <c r="H515" s="20">
        <f>IF($A515="","",MONTH($A515)&amp;"/"&amp;YEAR($A515))</f>
        <v/>
      </c>
      <c r="I515" s="21">
        <f>IF($A515="",0,YEAR($A515)*12+MONTH($A515))</f>
        <v/>
      </c>
    </row>
    <row r="516">
      <c r="A516" s="16" t="n"/>
      <c r="B516" s="17" t="n"/>
      <c r="C516" s="17" t="n"/>
      <c r="D516" s="18" t="n"/>
      <c r="E516" s="18" t="n"/>
      <c r="F516" s="17" t="n"/>
      <c r="G516" s="19" t="n"/>
      <c r="H516" s="20">
        <f>IF($A516="","",MONTH($A516)&amp;"/"&amp;YEAR($A516))</f>
        <v/>
      </c>
      <c r="I516" s="21">
        <f>IF($A516="",0,YEAR($A516)*12+MONTH($A516))</f>
        <v/>
      </c>
    </row>
    <row r="517">
      <c r="A517" s="16" t="n"/>
      <c r="B517" s="17" t="n"/>
      <c r="C517" s="17" t="n"/>
      <c r="D517" s="18" t="n"/>
      <c r="E517" s="18" t="n"/>
      <c r="F517" s="17" t="n"/>
      <c r="G517" s="19" t="n"/>
      <c r="H517" s="20">
        <f>IF($A517="","",MONTH($A517)&amp;"/"&amp;YEAR($A517))</f>
        <v/>
      </c>
      <c r="I517" s="21">
        <f>IF($A517="",0,YEAR($A517)*12+MONTH($A517))</f>
        <v/>
      </c>
    </row>
    <row r="518">
      <c r="A518" s="16" t="n"/>
      <c r="B518" s="17" t="n"/>
      <c r="C518" s="17" t="n"/>
      <c r="D518" s="18" t="n"/>
      <c r="E518" s="18" t="n"/>
      <c r="F518" s="17" t="n"/>
      <c r="G518" s="19" t="n"/>
      <c r="H518" s="20">
        <f>IF($A518="","",MONTH($A518)&amp;"/"&amp;YEAR($A518))</f>
        <v/>
      </c>
      <c r="I518" s="21">
        <f>IF($A518="",0,YEAR($A518)*12+MONTH($A518))</f>
        <v/>
      </c>
    </row>
    <row r="519">
      <c r="A519" s="16" t="n"/>
      <c r="B519" s="17" t="n"/>
      <c r="C519" s="17" t="n"/>
      <c r="D519" s="18" t="n"/>
      <c r="E519" s="18" t="n"/>
      <c r="F519" s="17" t="n"/>
      <c r="G519" s="19" t="n"/>
      <c r="H519" s="20">
        <f>IF($A519="","",MONTH($A519)&amp;"/"&amp;YEAR($A519))</f>
        <v/>
      </c>
      <c r="I519" s="21">
        <f>IF($A519="",0,YEAR($A519)*12+MONTH($A519))</f>
        <v/>
      </c>
    </row>
    <row r="520">
      <c r="A520" s="16" t="n"/>
      <c r="B520" s="17" t="n"/>
      <c r="C520" s="17" t="n"/>
      <c r="D520" s="18" t="n"/>
      <c r="E520" s="18" t="n"/>
      <c r="F520" s="17" t="n"/>
      <c r="G520" s="19" t="n"/>
      <c r="H520" s="20">
        <f>IF($A520="","",MONTH($A520)&amp;"/"&amp;YEAR($A520))</f>
        <v/>
      </c>
      <c r="I520" s="21">
        <f>IF($A520="",0,YEAR($A520)*12+MONTH($A520))</f>
        <v/>
      </c>
    </row>
    <row r="521">
      <c r="A521" s="16" t="n"/>
      <c r="B521" s="17" t="n"/>
      <c r="C521" s="17" t="n"/>
      <c r="D521" s="18" t="n"/>
      <c r="E521" s="18" t="n"/>
      <c r="F521" s="17" t="n"/>
      <c r="G521" s="19" t="n"/>
      <c r="H521" s="20">
        <f>IF($A521="","",MONTH($A521)&amp;"/"&amp;YEAR($A521))</f>
        <v/>
      </c>
      <c r="I521" s="21">
        <f>IF($A521="",0,YEAR($A521)*12+MONTH($A521))</f>
        <v/>
      </c>
    </row>
    <row r="522">
      <c r="A522" s="16" t="n"/>
      <c r="B522" s="17" t="n"/>
      <c r="C522" s="17" t="n"/>
      <c r="D522" s="18" t="n"/>
      <c r="E522" s="18" t="n"/>
      <c r="F522" s="17" t="n"/>
      <c r="G522" s="19" t="n"/>
      <c r="H522" s="20">
        <f>IF($A522="","",MONTH($A522)&amp;"/"&amp;YEAR($A522))</f>
        <v/>
      </c>
      <c r="I522" s="21">
        <f>IF($A522="",0,YEAR($A522)*12+MONTH($A522))</f>
        <v/>
      </c>
    </row>
    <row r="523">
      <c r="A523" s="16" t="n"/>
      <c r="B523" s="17" t="n"/>
      <c r="C523" s="17" t="n"/>
      <c r="D523" s="18" t="n"/>
      <c r="E523" s="18" t="n"/>
      <c r="F523" s="17" t="n"/>
      <c r="G523" s="19" t="n"/>
      <c r="H523" s="20">
        <f>IF($A523="","",MONTH($A523)&amp;"/"&amp;YEAR($A523))</f>
        <v/>
      </c>
      <c r="I523" s="21">
        <f>IF($A523="",0,YEAR($A523)*12+MONTH($A523))</f>
        <v/>
      </c>
    </row>
    <row r="524">
      <c r="A524" s="16" t="n"/>
      <c r="B524" s="17" t="n"/>
      <c r="C524" s="17" t="n"/>
      <c r="D524" s="18" t="n"/>
      <c r="E524" s="18" t="n"/>
      <c r="F524" s="17" t="n"/>
      <c r="G524" s="19" t="n"/>
      <c r="H524" s="20">
        <f>IF($A524="","",MONTH($A524)&amp;"/"&amp;YEAR($A524))</f>
        <v/>
      </c>
      <c r="I524" s="21">
        <f>IF($A524="",0,YEAR($A524)*12+MONTH($A524))</f>
        <v/>
      </c>
    </row>
    <row r="525">
      <c r="A525" s="16" t="n"/>
      <c r="B525" s="17" t="n"/>
      <c r="C525" s="17" t="n"/>
      <c r="D525" s="18" t="n"/>
      <c r="E525" s="18" t="n"/>
      <c r="F525" s="17" t="n"/>
      <c r="G525" s="19" t="n"/>
      <c r="H525" s="20">
        <f>IF($A525="","",MONTH($A525)&amp;"/"&amp;YEAR($A525))</f>
        <v/>
      </c>
      <c r="I525" s="21">
        <f>IF($A525="",0,YEAR($A525)*12+MONTH($A525))</f>
        <v/>
      </c>
    </row>
    <row r="526">
      <c r="A526" s="16" t="n"/>
      <c r="B526" s="17" t="n"/>
      <c r="C526" s="17" t="n"/>
      <c r="D526" s="18" t="n"/>
      <c r="E526" s="18" t="n"/>
      <c r="F526" s="17" t="n"/>
      <c r="G526" s="19" t="n"/>
      <c r="H526" s="20">
        <f>IF($A526="","",MONTH($A526)&amp;"/"&amp;YEAR($A526))</f>
        <v/>
      </c>
      <c r="I526" s="21">
        <f>IF($A526="",0,YEAR($A526)*12+MONTH($A526))</f>
        <v/>
      </c>
    </row>
    <row r="527">
      <c r="A527" s="16" t="n"/>
      <c r="B527" s="17" t="n"/>
      <c r="C527" s="17" t="n"/>
      <c r="D527" s="18" t="n"/>
      <c r="E527" s="18" t="n"/>
      <c r="F527" s="17" t="n"/>
      <c r="G527" s="19" t="n"/>
      <c r="H527" s="20">
        <f>IF($A527="","",MONTH($A527)&amp;"/"&amp;YEAR($A527))</f>
        <v/>
      </c>
      <c r="I527" s="21">
        <f>IF($A527="",0,YEAR($A527)*12+MONTH($A527))</f>
        <v/>
      </c>
    </row>
    <row r="528">
      <c r="A528" s="16" t="n"/>
      <c r="B528" s="17" t="n"/>
      <c r="C528" s="17" t="n"/>
      <c r="D528" s="18" t="n"/>
      <c r="E528" s="18" t="n"/>
      <c r="F528" s="17" t="n"/>
      <c r="G528" s="19" t="n"/>
      <c r="H528" s="20">
        <f>IF($A528="","",MONTH($A528)&amp;"/"&amp;YEAR($A528))</f>
        <v/>
      </c>
      <c r="I528" s="21">
        <f>IF($A528="",0,YEAR($A528)*12+MONTH($A528))</f>
        <v/>
      </c>
    </row>
    <row r="529">
      <c r="A529" s="16" t="n"/>
      <c r="B529" s="17" t="n"/>
      <c r="C529" s="17" t="n"/>
      <c r="D529" s="18" t="n"/>
      <c r="E529" s="18" t="n"/>
      <c r="F529" s="17" t="n"/>
      <c r="G529" s="19" t="n"/>
      <c r="H529" s="20">
        <f>IF($A529="","",MONTH($A529)&amp;"/"&amp;YEAR($A529))</f>
        <v/>
      </c>
      <c r="I529" s="21">
        <f>IF($A529="",0,YEAR($A529)*12+MONTH($A529))</f>
        <v/>
      </c>
    </row>
    <row r="530">
      <c r="A530" s="16" t="n"/>
      <c r="B530" s="17" t="n"/>
      <c r="C530" s="17" t="n"/>
      <c r="D530" s="18" t="n"/>
      <c r="E530" s="18" t="n"/>
      <c r="F530" s="17" t="n"/>
      <c r="G530" s="19" t="n"/>
      <c r="H530" s="20">
        <f>IF($A530="","",MONTH($A530)&amp;"/"&amp;YEAR($A530))</f>
        <v/>
      </c>
      <c r="I530" s="21">
        <f>IF($A530="",0,YEAR($A530)*12+MONTH($A530))</f>
        <v/>
      </c>
    </row>
    <row r="531">
      <c r="A531" s="16" t="n"/>
      <c r="B531" s="17" t="n"/>
      <c r="C531" s="17" t="n"/>
      <c r="D531" s="18" t="n"/>
      <c r="E531" s="18" t="n"/>
      <c r="F531" s="17" t="n"/>
      <c r="G531" s="19" t="n"/>
      <c r="H531" s="20">
        <f>IF($A531="","",MONTH($A531)&amp;"/"&amp;YEAR($A531))</f>
        <v/>
      </c>
      <c r="I531" s="21">
        <f>IF($A531="",0,YEAR($A531)*12+MONTH($A531))</f>
        <v/>
      </c>
    </row>
    <row r="532">
      <c r="A532" s="16" t="n"/>
      <c r="B532" s="17" t="n"/>
      <c r="C532" s="17" t="n"/>
      <c r="D532" s="18" t="n"/>
      <c r="E532" s="18" t="n"/>
      <c r="F532" s="17" t="n"/>
      <c r="G532" s="19" t="n"/>
      <c r="H532" s="20">
        <f>IF($A532="","",MONTH($A532)&amp;"/"&amp;YEAR($A532))</f>
        <v/>
      </c>
      <c r="I532" s="21">
        <f>IF($A532="",0,YEAR($A532)*12+MONTH($A532))</f>
        <v/>
      </c>
    </row>
    <row r="533">
      <c r="A533" s="16" t="n"/>
      <c r="B533" s="17" t="n"/>
      <c r="C533" s="17" t="n"/>
      <c r="D533" s="18" t="n"/>
      <c r="E533" s="18" t="n"/>
      <c r="F533" s="17" t="n"/>
      <c r="G533" s="19" t="n"/>
      <c r="H533" s="20">
        <f>IF($A533="","",MONTH($A533)&amp;"/"&amp;YEAR($A533))</f>
        <v/>
      </c>
      <c r="I533" s="21">
        <f>IF($A533="",0,YEAR($A533)*12+MONTH($A533))</f>
        <v/>
      </c>
    </row>
    <row r="534">
      <c r="A534" s="16" t="n"/>
      <c r="B534" s="17" t="n"/>
      <c r="C534" s="17" t="n"/>
      <c r="D534" s="18" t="n"/>
      <c r="E534" s="18" t="n"/>
      <c r="F534" s="17" t="n"/>
      <c r="G534" s="19" t="n"/>
      <c r="H534" s="20">
        <f>IF($A534="","",MONTH($A534)&amp;"/"&amp;YEAR($A534))</f>
        <v/>
      </c>
      <c r="I534" s="21">
        <f>IF($A534="",0,YEAR($A534)*12+MONTH($A534))</f>
        <v/>
      </c>
    </row>
    <row r="535">
      <c r="A535" s="16" t="n"/>
      <c r="B535" s="17" t="n"/>
      <c r="C535" s="17" t="n"/>
      <c r="D535" s="18" t="n"/>
      <c r="E535" s="18" t="n"/>
      <c r="F535" s="17" t="n"/>
      <c r="G535" s="19" t="n"/>
      <c r="H535" s="20">
        <f>IF($A535="","",MONTH($A535)&amp;"/"&amp;YEAR($A535))</f>
        <v/>
      </c>
      <c r="I535" s="21">
        <f>IF($A535="",0,YEAR($A535)*12+MONTH($A535))</f>
        <v/>
      </c>
    </row>
    <row r="536">
      <c r="A536" s="16" t="n"/>
      <c r="B536" s="17" t="n"/>
      <c r="C536" s="17" t="n"/>
      <c r="D536" s="18" t="n"/>
      <c r="E536" s="18" t="n"/>
      <c r="F536" s="17" t="n"/>
      <c r="G536" s="19" t="n"/>
      <c r="H536" s="20">
        <f>IF($A536="","",MONTH($A536)&amp;"/"&amp;YEAR($A536))</f>
        <v/>
      </c>
      <c r="I536" s="21">
        <f>IF($A536="",0,YEAR($A536)*12+MONTH($A536))</f>
        <v/>
      </c>
    </row>
    <row r="537">
      <c r="A537" s="16" t="n"/>
      <c r="B537" s="17" t="n"/>
      <c r="C537" s="17" t="n"/>
      <c r="D537" s="18" t="n"/>
      <c r="E537" s="18" t="n"/>
      <c r="F537" s="17" t="n"/>
      <c r="G537" s="19" t="n"/>
      <c r="H537" s="20">
        <f>IF($A537="","",MONTH($A537)&amp;"/"&amp;YEAR($A537))</f>
        <v/>
      </c>
      <c r="I537" s="21">
        <f>IF($A537="",0,YEAR($A537)*12+MONTH($A537))</f>
        <v/>
      </c>
    </row>
    <row r="538">
      <c r="A538" s="16" t="n"/>
      <c r="B538" s="17" t="n"/>
      <c r="C538" s="17" t="n"/>
      <c r="D538" s="18" t="n"/>
      <c r="E538" s="18" t="n"/>
      <c r="F538" s="17" t="n"/>
      <c r="G538" s="19" t="n"/>
      <c r="H538" s="20">
        <f>IF($A538="","",MONTH($A538)&amp;"/"&amp;YEAR($A538))</f>
        <v/>
      </c>
      <c r="I538" s="21">
        <f>IF($A538="",0,YEAR($A538)*12+MONTH($A538))</f>
        <v/>
      </c>
    </row>
    <row r="539">
      <c r="A539" s="16" t="n"/>
      <c r="B539" s="17" t="n"/>
      <c r="C539" s="17" t="n"/>
      <c r="D539" s="18" t="n"/>
      <c r="E539" s="18" t="n"/>
      <c r="F539" s="17" t="n"/>
      <c r="G539" s="19" t="n"/>
      <c r="H539" s="20">
        <f>IF($A539="","",MONTH($A539)&amp;"/"&amp;YEAR($A539))</f>
        <v/>
      </c>
      <c r="I539" s="21">
        <f>IF($A539="",0,YEAR($A539)*12+MONTH($A539))</f>
        <v/>
      </c>
    </row>
    <row r="540">
      <c r="A540" s="16" t="n"/>
      <c r="B540" s="17" t="n"/>
      <c r="C540" s="17" t="n"/>
      <c r="D540" s="18" t="n"/>
      <c r="E540" s="18" t="n"/>
      <c r="F540" s="17" t="n"/>
      <c r="G540" s="19" t="n"/>
      <c r="H540" s="20">
        <f>IF($A540="","",MONTH($A540)&amp;"/"&amp;YEAR($A540))</f>
        <v/>
      </c>
      <c r="I540" s="21">
        <f>IF($A540="",0,YEAR($A540)*12+MONTH($A540))</f>
        <v/>
      </c>
    </row>
    <row r="541">
      <c r="A541" s="16" t="n"/>
      <c r="B541" s="17" t="n"/>
      <c r="C541" s="17" t="n"/>
      <c r="D541" s="18" t="n"/>
      <c r="E541" s="18" t="n"/>
      <c r="F541" s="17" t="n"/>
      <c r="G541" s="19" t="n"/>
      <c r="H541" s="20">
        <f>IF($A541="","",MONTH($A541)&amp;"/"&amp;YEAR($A541))</f>
        <v/>
      </c>
      <c r="I541" s="21">
        <f>IF($A541="",0,YEAR($A541)*12+MONTH($A541))</f>
        <v/>
      </c>
    </row>
    <row r="542">
      <c r="A542" s="16" t="n"/>
      <c r="B542" s="17" t="n"/>
      <c r="C542" s="17" t="n"/>
      <c r="D542" s="18" t="n"/>
      <c r="E542" s="18" t="n"/>
      <c r="F542" s="17" t="n"/>
      <c r="G542" s="19" t="n"/>
      <c r="H542" s="20">
        <f>IF($A542="","",MONTH($A542)&amp;"/"&amp;YEAR($A542))</f>
        <v/>
      </c>
      <c r="I542" s="21">
        <f>IF($A542="",0,YEAR($A542)*12+MONTH($A542))</f>
        <v/>
      </c>
    </row>
    <row r="543">
      <c r="A543" s="16" t="n"/>
      <c r="B543" s="17" t="n"/>
      <c r="C543" s="17" t="n"/>
      <c r="D543" s="18" t="n"/>
      <c r="E543" s="18" t="n"/>
      <c r="F543" s="17" t="n"/>
      <c r="G543" s="19" t="n"/>
      <c r="H543" s="20">
        <f>IF($A543="","",MONTH($A543)&amp;"/"&amp;YEAR($A543))</f>
        <v/>
      </c>
      <c r="I543" s="21">
        <f>IF($A543="",0,YEAR($A543)*12+MONTH($A543))</f>
        <v/>
      </c>
    </row>
    <row r="544">
      <c r="A544" s="16" t="n"/>
      <c r="B544" s="17" t="n"/>
      <c r="C544" s="17" t="n"/>
      <c r="D544" s="18" t="n"/>
      <c r="E544" s="18" t="n"/>
      <c r="F544" s="17" t="n"/>
      <c r="G544" s="19" t="n"/>
      <c r="H544" s="20">
        <f>IF($A544="","",MONTH($A544)&amp;"/"&amp;YEAR($A544))</f>
        <v/>
      </c>
      <c r="I544" s="21">
        <f>IF($A544="",0,YEAR($A544)*12+MONTH($A544))</f>
        <v/>
      </c>
    </row>
    <row r="545">
      <c r="A545" s="16" t="n"/>
      <c r="B545" s="17" t="n"/>
      <c r="C545" s="17" t="n"/>
      <c r="D545" s="18" t="n"/>
      <c r="E545" s="18" t="n"/>
      <c r="F545" s="17" t="n"/>
      <c r="G545" s="19" t="n"/>
      <c r="H545" s="20">
        <f>IF($A545="","",MONTH($A545)&amp;"/"&amp;YEAR($A545))</f>
        <v/>
      </c>
      <c r="I545" s="21">
        <f>IF($A545="",0,YEAR($A545)*12+MONTH($A545))</f>
        <v/>
      </c>
    </row>
    <row r="546">
      <c r="A546" s="16" t="n"/>
      <c r="B546" s="17" t="n"/>
      <c r="C546" s="17" t="n"/>
      <c r="D546" s="18" t="n"/>
      <c r="E546" s="18" t="n"/>
      <c r="F546" s="17" t="n"/>
      <c r="G546" s="19" t="n"/>
      <c r="H546" s="20">
        <f>IF($A546="","",MONTH($A546)&amp;"/"&amp;YEAR($A546))</f>
        <v/>
      </c>
      <c r="I546" s="21">
        <f>IF($A546="",0,YEAR($A546)*12+MONTH($A546))</f>
        <v/>
      </c>
    </row>
    <row r="547">
      <c r="A547" s="16" t="n"/>
      <c r="B547" s="17" t="n"/>
      <c r="C547" s="17" t="n"/>
      <c r="D547" s="18" t="n"/>
      <c r="E547" s="18" t="n"/>
      <c r="F547" s="17" t="n"/>
      <c r="G547" s="19" t="n"/>
      <c r="H547" s="20">
        <f>IF($A547="","",MONTH($A547)&amp;"/"&amp;YEAR($A547))</f>
        <v/>
      </c>
      <c r="I547" s="21">
        <f>IF($A547="",0,YEAR($A547)*12+MONTH($A547))</f>
        <v/>
      </c>
    </row>
    <row r="548">
      <c r="A548" s="16" t="n"/>
      <c r="B548" s="17" t="n"/>
      <c r="C548" s="17" t="n"/>
      <c r="D548" s="18" t="n"/>
      <c r="E548" s="18" t="n"/>
      <c r="F548" s="17" t="n"/>
      <c r="G548" s="19" t="n"/>
      <c r="H548" s="20">
        <f>IF($A548="","",MONTH($A548)&amp;"/"&amp;YEAR($A548))</f>
        <v/>
      </c>
      <c r="I548" s="21">
        <f>IF($A548="",0,YEAR($A548)*12+MONTH($A548))</f>
        <v/>
      </c>
    </row>
    <row r="549">
      <c r="A549" s="16" t="n"/>
      <c r="B549" s="17" t="n"/>
      <c r="C549" s="17" t="n"/>
      <c r="D549" s="18" t="n"/>
      <c r="E549" s="18" t="n"/>
      <c r="F549" s="17" t="n"/>
      <c r="G549" s="19" t="n"/>
      <c r="H549" s="20">
        <f>IF($A549="","",MONTH($A549)&amp;"/"&amp;YEAR($A549))</f>
        <v/>
      </c>
      <c r="I549" s="21">
        <f>IF($A549="",0,YEAR($A549)*12+MONTH($A549))</f>
        <v/>
      </c>
    </row>
    <row r="550">
      <c r="A550" s="16" t="n"/>
      <c r="B550" s="17" t="n"/>
      <c r="C550" s="17" t="n"/>
      <c r="D550" s="18" t="n"/>
      <c r="E550" s="18" t="n"/>
      <c r="F550" s="17" t="n"/>
      <c r="G550" s="19" t="n"/>
      <c r="H550" s="20">
        <f>IF($A550="","",MONTH($A550)&amp;"/"&amp;YEAR($A550))</f>
        <v/>
      </c>
      <c r="I550" s="21">
        <f>IF($A550="",0,YEAR($A550)*12+MONTH($A550))</f>
        <v/>
      </c>
    </row>
    <row r="551">
      <c r="A551" s="16" t="n"/>
      <c r="B551" s="17" t="n"/>
      <c r="C551" s="17" t="n"/>
      <c r="D551" s="18" t="n"/>
      <c r="E551" s="18" t="n"/>
      <c r="F551" s="17" t="n"/>
      <c r="G551" s="19" t="n"/>
      <c r="H551" s="20">
        <f>IF($A551="","",MONTH($A551)&amp;"/"&amp;YEAR($A551))</f>
        <v/>
      </c>
      <c r="I551" s="21">
        <f>IF($A551="",0,YEAR($A551)*12+MONTH($A551))</f>
        <v/>
      </c>
    </row>
    <row r="552">
      <c r="A552" s="16" t="n"/>
      <c r="B552" s="17" t="n"/>
      <c r="C552" s="17" t="n"/>
      <c r="D552" s="18" t="n"/>
      <c r="E552" s="18" t="n"/>
      <c r="F552" s="17" t="n"/>
      <c r="G552" s="19" t="n"/>
      <c r="H552" s="20">
        <f>IF($A552="","",MONTH($A552)&amp;"/"&amp;YEAR($A552))</f>
        <v/>
      </c>
      <c r="I552" s="21">
        <f>IF($A552="",0,YEAR($A552)*12+MONTH($A552))</f>
        <v/>
      </c>
    </row>
    <row r="553">
      <c r="A553" s="16" t="n"/>
      <c r="B553" s="17" t="n"/>
      <c r="C553" s="17" t="n"/>
      <c r="D553" s="18" t="n"/>
      <c r="E553" s="18" t="n"/>
      <c r="F553" s="17" t="n"/>
      <c r="G553" s="19" t="n"/>
      <c r="H553" s="20">
        <f>IF($A553="","",MONTH($A553)&amp;"/"&amp;YEAR($A553))</f>
        <v/>
      </c>
      <c r="I553" s="21">
        <f>IF($A553="",0,YEAR($A553)*12+MONTH($A553))</f>
        <v/>
      </c>
    </row>
    <row r="554">
      <c r="A554" s="16" t="n"/>
      <c r="B554" s="17" t="n"/>
      <c r="C554" s="17" t="n"/>
      <c r="D554" s="18" t="n"/>
      <c r="E554" s="18" t="n"/>
      <c r="F554" s="17" t="n"/>
      <c r="G554" s="19" t="n"/>
      <c r="H554" s="20">
        <f>IF($A554="","",MONTH($A554)&amp;"/"&amp;YEAR($A554))</f>
        <v/>
      </c>
      <c r="I554" s="21">
        <f>IF($A554="",0,YEAR($A554)*12+MONTH($A554))</f>
        <v/>
      </c>
    </row>
    <row r="555">
      <c r="A555" s="16" t="n"/>
      <c r="B555" s="17" t="n"/>
      <c r="C555" s="17" t="n"/>
      <c r="D555" s="18" t="n"/>
      <c r="E555" s="18" t="n"/>
      <c r="F555" s="17" t="n"/>
      <c r="G555" s="19" t="n"/>
      <c r="H555" s="20">
        <f>IF($A555="","",MONTH($A555)&amp;"/"&amp;YEAR($A555))</f>
        <v/>
      </c>
      <c r="I555" s="21">
        <f>IF($A555="",0,YEAR($A555)*12+MONTH($A555))</f>
        <v/>
      </c>
    </row>
    <row r="556">
      <c r="A556" s="16" t="n"/>
      <c r="B556" s="17" t="n"/>
      <c r="C556" s="17" t="n"/>
      <c r="D556" s="18" t="n"/>
      <c r="E556" s="18" t="n"/>
      <c r="F556" s="17" t="n"/>
      <c r="G556" s="19" t="n"/>
      <c r="H556" s="20">
        <f>IF($A556="","",MONTH($A556)&amp;"/"&amp;YEAR($A556))</f>
        <v/>
      </c>
      <c r="I556" s="21">
        <f>IF($A556="",0,YEAR($A556)*12+MONTH($A556))</f>
        <v/>
      </c>
    </row>
    <row r="557">
      <c r="A557" s="16" t="n"/>
      <c r="B557" s="17" t="n"/>
      <c r="C557" s="17" t="n"/>
      <c r="D557" s="18" t="n"/>
      <c r="E557" s="18" t="n"/>
      <c r="F557" s="17" t="n"/>
      <c r="G557" s="19" t="n"/>
      <c r="H557" s="20">
        <f>IF($A557="","",MONTH($A557)&amp;"/"&amp;YEAR($A557))</f>
        <v/>
      </c>
      <c r="I557" s="21">
        <f>IF($A557="",0,YEAR($A557)*12+MONTH($A557))</f>
        <v/>
      </c>
    </row>
    <row r="558">
      <c r="A558" s="16" t="n"/>
      <c r="B558" s="17" t="n"/>
      <c r="C558" s="17" t="n"/>
      <c r="D558" s="18" t="n"/>
      <c r="E558" s="18" t="n"/>
      <c r="F558" s="17" t="n"/>
      <c r="G558" s="19" t="n"/>
      <c r="H558" s="20">
        <f>IF($A558="","",MONTH($A558)&amp;"/"&amp;YEAR($A558))</f>
        <v/>
      </c>
      <c r="I558" s="21">
        <f>IF($A558="",0,YEAR($A558)*12+MONTH($A558))</f>
        <v/>
      </c>
    </row>
    <row r="559">
      <c r="A559" s="16" t="n"/>
      <c r="B559" s="17" t="n"/>
      <c r="C559" s="17" t="n"/>
      <c r="D559" s="18" t="n"/>
      <c r="E559" s="18" t="n"/>
      <c r="F559" s="17" t="n"/>
      <c r="G559" s="19" t="n"/>
      <c r="H559" s="20">
        <f>IF($A559="","",MONTH($A559)&amp;"/"&amp;YEAR($A559))</f>
        <v/>
      </c>
      <c r="I559" s="21">
        <f>IF($A559="",0,YEAR($A559)*12+MONTH($A559))</f>
        <v/>
      </c>
    </row>
    <row r="560">
      <c r="A560" s="16" t="n"/>
      <c r="B560" s="17" t="n"/>
      <c r="C560" s="17" t="n"/>
      <c r="D560" s="18" t="n"/>
      <c r="E560" s="18" t="n"/>
      <c r="F560" s="17" t="n"/>
      <c r="G560" s="19" t="n"/>
      <c r="H560" s="20">
        <f>IF($A560="","",MONTH($A560)&amp;"/"&amp;YEAR($A560))</f>
        <v/>
      </c>
      <c r="I560" s="21">
        <f>IF($A560="",0,YEAR($A560)*12+MONTH($A560))</f>
        <v/>
      </c>
    </row>
    <row r="561">
      <c r="A561" s="16" t="n"/>
      <c r="B561" s="17" t="n"/>
      <c r="C561" s="17" t="n"/>
      <c r="D561" s="18" t="n"/>
      <c r="E561" s="18" t="n"/>
      <c r="F561" s="17" t="n"/>
      <c r="G561" s="19" t="n"/>
      <c r="H561" s="20">
        <f>IF($A561="","",MONTH($A561)&amp;"/"&amp;YEAR($A561))</f>
        <v/>
      </c>
      <c r="I561" s="21">
        <f>IF($A561="",0,YEAR($A561)*12+MONTH($A561))</f>
        <v/>
      </c>
    </row>
    <row r="562">
      <c r="A562" s="16" t="n"/>
      <c r="B562" s="17" t="n"/>
      <c r="C562" s="17" t="n"/>
      <c r="D562" s="18" t="n"/>
      <c r="E562" s="18" t="n"/>
      <c r="F562" s="17" t="n"/>
      <c r="G562" s="19" t="n"/>
      <c r="H562" s="20">
        <f>IF($A562="","",MONTH($A562)&amp;"/"&amp;YEAR($A562))</f>
        <v/>
      </c>
      <c r="I562" s="21">
        <f>IF($A562="",0,YEAR($A562)*12+MONTH($A562))</f>
        <v/>
      </c>
    </row>
    <row r="563">
      <c r="A563" s="16" t="n"/>
      <c r="B563" s="17" t="n"/>
      <c r="C563" s="17" t="n"/>
      <c r="D563" s="18" t="n"/>
      <c r="E563" s="18" t="n"/>
      <c r="F563" s="17" t="n"/>
      <c r="G563" s="19" t="n"/>
      <c r="H563" s="20">
        <f>IF($A563="","",MONTH($A563)&amp;"/"&amp;YEAR($A563))</f>
        <v/>
      </c>
      <c r="I563" s="21">
        <f>IF($A563="",0,YEAR($A563)*12+MONTH($A563))</f>
        <v/>
      </c>
    </row>
    <row r="564">
      <c r="A564" s="16" t="n"/>
      <c r="B564" s="17" t="n"/>
      <c r="C564" s="17" t="n"/>
      <c r="D564" s="18" t="n"/>
      <c r="E564" s="18" t="n"/>
      <c r="F564" s="17" t="n"/>
      <c r="G564" s="19" t="n"/>
      <c r="H564" s="20">
        <f>IF($A564="","",MONTH($A564)&amp;"/"&amp;YEAR($A564))</f>
        <v/>
      </c>
      <c r="I564" s="21">
        <f>IF($A564="",0,YEAR($A564)*12+MONTH($A564))</f>
        <v/>
      </c>
    </row>
    <row r="565">
      <c r="A565" s="16" t="n"/>
      <c r="B565" s="17" t="n"/>
      <c r="C565" s="17" t="n"/>
      <c r="D565" s="18" t="n"/>
      <c r="E565" s="18" t="n"/>
      <c r="F565" s="17" t="n"/>
      <c r="G565" s="19" t="n"/>
      <c r="H565" s="20">
        <f>IF($A565="","",MONTH($A565)&amp;"/"&amp;YEAR($A565))</f>
        <v/>
      </c>
      <c r="I565" s="21">
        <f>IF($A565="",0,YEAR($A565)*12+MONTH($A565))</f>
        <v/>
      </c>
    </row>
    <row r="566">
      <c r="A566" s="16" t="n"/>
      <c r="B566" s="17" t="n"/>
      <c r="C566" s="17" t="n"/>
      <c r="D566" s="18" t="n"/>
      <c r="E566" s="18" t="n"/>
      <c r="F566" s="17" t="n"/>
      <c r="G566" s="19" t="n"/>
      <c r="H566" s="20">
        <f>IF($A566="","",MONTH($A566)&amp;"/"&amp;YEAR($A566))</f>
        <v/>
      </c>
      <c r="I566" s="21">
        <f>IF($A566="",0,YEAR($A566)*12+MONTH($A566))</f>
        <v/>
      </c>
    </row>
    <row r="567">
      <c r="A567" s="16" t="n"/>
      <c r="B567" s="17" t="n"/>
      <c r="C567" s="17" t="n"/>
      <c r="D567" s="18" t="n"/>
      <c r="E567" s="18" t="n"/>
      <c r="F567" s="17" t="n"/>
      <c r="G567" s="19" t="n"/>
      <c r="H567" s="20">
        <f>IF($A567="","",MONTH($A567)&amp;"/"&amp;YEAR($A567))</f>
        <v/>
      </c>
      <c r="I567" s="21">
        <f>IF($A567="",0,YEAR($A567)*12+MONTH($A567))</f>
        <v/>
      </c>
    </row>
    <row r="568">
      <c r="A568" s="16" t="n"/>
      <c r="B568" s="17" t="n"/>
      <c r="C568" s="17" t="n"/>
      <c r="D568" s="18" t="n"/>
      <c r="E568" s="18" t="n"/>
      <c r="F568" s="17" t="n"/>
      <c r="G568" s="19" t="n"/>
      <c r="H568" s="20">
        <f>IF($A568="","",MONTH($A568)&amp;"/"&amp;YEAR($A568))</f>
        <v/>
      </c>
      <c r="I568" s="21">
        <f>IF($A568="",0,YEAR($A568)*12+MONTH($A568))</f>
        <v/>
      </c>
    </row>
    <row r="569">
      <c r="A569" s="16" t="n"/>
      <c r="B569" s="17" t="n"/>
      <c r="C569" s="17" t="n"/>
      <c r="D569" s="18" t="n"/>
      <c r="E569" s="18" t="n"/>
      <c r="F569" s="17" t="n"/>
      <c r="G569" s="19" t="n"/>
      <c r="H569" s="20">
        <f>IF($A569="","",MONTH($A569)&amp;"/"&amp;YEAR($A569))</f>
        <v/>
      </c>
      <c r="I569" s="21">
        <f>IF($A569="",0,YEAR($A569)*12+MONTH($A569))</f>
        <v/>
      </c>
    </row>
    <row r="570">
      <c r="A570" s="16" t="n"/>
      <c r="B570" s="17" t="n"/>
      <c r="C570" s="17" t="n"/>
      <c r="D570" s="18" t="n"/>
      <c r="E570" s="18" t="n"/>
      <c r="F570" s="17" t="n"/>
      <c r="G570" s="19" t="n"/>
      <c r="H570" s="20">
        <f>IF($A570="","",MONTH($A570)&amp;"/"&amp;YEAR($A570))</f>
        <v/>
      </c>
      <c r="I570" s="21">
        <f>IF($A570="",0,YEAR($A570)*12+MONTH($A570))</f>
        <v/>
      </c>
    </row>
    <row r="571">
      <c r="A571" s="16" t="n"/>
      <c r="B571" s="17" t="n"/>
      <c r="C571" s="17" t="n"/>
      <c r="D571" s="18" t="n"/>
      <c r="E571" s="18" t="n"/>
      <c r="F571" s="17" t="n"/>
      <c r="G571" s="19" t="n"/>
      <c r="H571" s="20">
        <f>IF($A571="","",MONTH($A571)&amp;"/"&amp;YEAR($A571))</f>
        <v/>
      </c>
      <c r="I571" s="21">
        <f>IF($A571="",0,YEAR($A571)*12+MONTH($A571))</f>
        <v/>
      </c>
    </row>
    <row r="572">
      <c r="A572" s="16" t="n"/>
      <c r="B572" s="17" t="n"/>
      <c r="C572" s="17" t="n"/>
      <c r="D572" s="18" t="n"/>
      <c r="E572" s="18" t="n"/>
      <c r="F572" s="17" t="n"/>
      <c r="G572" s="19" t="n"/>
      <c r="H572" s="20">
        <f>IF($A572="","",MONTH($A572)&amp;"/"&amp;YEAR($A572))</f>
        <v/>
      </c>
      <c r="I572" s="21">
        <f>IF($A572="",0,YEAR($A572)*12+MONTH($A572))</f>
        <v/>
      </c>
    </row>
    <row r="573">
      <c r="A573" s="16" t="n"/>
      <c r="B573" s="17" t="n"/>
      <c r="C573" s="17" t="n"/>
      <c r="D573" s="18" t="n"/>
      <c r="E573" s="18" t="n"/>
      <c r="F573" s="17" t="n"/>
      <c r="G573" s="19" t="n"/>
      <c r="H573" s="20">
        <f>IF($A573="","",MONTH($A573)&amp;"/"&amp;YEAR($A573))</f>
        <v/>
      </c>
      <c r="I573" s="21">
        <f>IF($A573="",0,YEAR($A573)*12+MONTH($A573))</f>
        <v/>
      </c>
    </row>
    <row r="574">
      <c r="A574" s="16" t="n"/>
      <c r="B574" s="17" t="n"/>
      <c r="C574" s="17" t="n"/>
      <c r="D574" s="18" t="n"/>
      <c r="E574" s="18" t="n"/>
      <c r="F574" s="17" t="n"/>
      <c r="G574" s="19" t="n"/>
      <c r="H574" s="20">
        <f>IF($A574="","",MONTH($A574)&amp;"/"&amp;YEAR($A574))</f>
        <v/>
      </c>
      <c r="I574" s="21">
        <f>IF($A574="",0,YEAR($A574)*12+MONTH($A574))</f>
        <v/>
      </c>
    </row>
    <row r="575">
      <c r="A575" s="16" t="n"/>
      <c r="B575" s="17" t="n"/>
      <c r="C575" s="17" t="n"/>
      <c r="D575" s="18" t="n"/>
      <c r="E575" s="18" t="n"/>
      <c r="F575" s="17" t="n"/>
      <c r="G575" s="19" t="n"/>
      <c r="H575" s="20">
        <f>IF($A575="","",MONTH($A575)&amp;"/"&amp;YEAR($A575))</f>
        <v/>
      </c>
      <c r="I575" s="21">
        <f>IF($A575="",0,YEAR($A575)*12+MONTH($A575))</f>
        <v/>
      </c>
    </row>
    <row r="576">
      <c r="A576" s="16" t="n"/>
      <c r="B576" s="17" t="n"/>
      <c r="C576" s="17" t="n"/>
      <c r="D576" s="18" t="n"/>
      <c r="E576" s="18" t="n"/>
      <c r="F576" s="17" t="n"/>
      <c r="G576" s="19" t="n"/>
      <c r="H576" s="20">
        <f>IF($A576="","",MONTH($A576)&amp;"/"&amp;YEAR($A576))</f>
        <v/>
      </c>
      <c r="I576" s="21">
        <f>IF($A576="",0,YEAR($A576)*12+MONTH($A576))</f>
        <v/>
      </c>
    </row>
    <row r="577">
      <c r="A577" s="16" t="n"/>
      <c r="B577" s="17" t="n"/>
      <c r="C577" s="17" t="n"/>
      <c r="D577" s="18" t="n"/>
      <c r="E577" s="18" t="n"/>
      <c r="F577" s="17" t="n"/>
      <c r="G577" s="19" t="n"/>
      <c r="H577" s="20">
        <f>IF($A577="","",MONTH($A577)&amp;"/"&amp;YEAR($A577))</f>
        <v/>
      </c>
      <c r="I577" s="21">
        <f>IF($A577="",0,YEAR($A577)*12+MONTH($A577))</f>
        <v/>
      </c>
    </row>
    <row r="578">
      <c r="A578" s="16" t="n"/>
      <c r="B578" s="17" t="n"/>
      <c r="C578" s="17" t="n"/>
      <c r="D578" s="18" t="n"/>
      <c r="E578" s="18" t="n"/>
      <c r="F578" s="17" t="n"/>
      <c r="G578" s="19" t="n"/>
      <c r="H578" s="20">
        <f>IF($A578="","",MONTH($A578)&amp;"/"&amp;YEAR($A578))</f>
        <v/>
      </c>
      <c r="I578" s="21">
        <f>IF($A578="",0,YEAR($A578)*12+MONTH($A578))</f>
        <v/>
      </c>
    </row>
    <row r="579">
      <c r="A579" s="16" t="n"/>
      <c r="B579" s="17" t="n"/>
      <c r="C579" s="17" t="n"/>
      <c r="D579" s="18" t="n"/>
      <c r="E579" s="18" t="n"/>
      <c r="F579" s="17" t="n"/>
      <c r="G579" s="19" t="n"/>
      <c r="H579" s="20">
        <f>IF($A579="","",MONTH($A579)&amp;"/"&amp;YEAR($A579))</f>
        <v/>
      </c>
      <c r="I579" s="21">
        <f>IF($A579="",0,YEAR($A579)*12+MONTH($A579))</f>
        <v/>
      </c>
    </row>
    <row r="580">
      <c r="A580" s="16" t="n"/>
      <c r="B580" s="17" t="n"/>
      <c r="C580" s="17" t="n"/>
      <c r="D580" s="18" t="n"/>
      <c r="E580" s="18" t="n"/>
      <c r="F580" s="17" t="n"/>
      <c r="G580" s="19" t="n"/>
      <c r="H580" s="20">
        <f>IF($A580="","",MONTH($A580)&amp;"/"&amp;YEAR($A580))</f>
        <v/>
      </c>
      <c r="I580" s="21">
        <f>IF($A580="",0,YEAR($A580)*12+MONTH($A580))</f>
        <v/>
      </c>
    </row>
    <row r="581">
      <c r="A581" s="16" t="n"/>
      <c r="B581" s="17" t="n"/>
      <c r="C581" s="17" t="n"/>
      <c r="D581" s="18" t="n"/>
      <c r="E581" s="18" t="n"/>
      <c r="F581" s="17" t="n"/>
      <c r="G581" s="19" t="n"/>
      <c r="H581" s="20">
        <f>IF($A581="","",MONTH($A581)&amp;"/"&amp;YEAR($A581))</f>
        <v/>
      </c>
      <c r="I581" s="21">
        <f>IF($A581="",0,YEAR($A581)*12+MONTH($A581))</f>
        <v/>
      </c>
    </row>
    <row r="582">
      <c r="A582" s="16" t="n"/>
      <c r="B582" s="17" t="n"/>
      <c r="C582" s="17" t="n"/>
      <c r="D582" s="18" t="n"/>
      <c r="E582" s="18" t="n"/>
      <c r="F582" s="17" t="n"/>
      <c r="G582" s="19" t="n"/>
      <c r="H582" s="20">
        <f>IF($A582="","",MONTH($A582)&amp;"/"&amp;YEAR($A582))</f>
        <v/>
      </c>
      <c r="I582" s="21">
        <f>IF($A582="",0,YEAR($A582)*12+MONTH($A582))</f>
        <v/>
      </c>
    </row>
    <row r="583">
      <c r="A583" s="16" t="n"/>
      <c r="B583" s="17" t="n"/>
      <c r="C583" s="17" t="n"/>
      <c r="D583" s="18" t="n"/>
      <c r="E583" s="18" t="n"/>
      <c r="F583" s="17" t="n"/>
      <c r="G583" s="19" t="n"/>
      <c r="H583" s="20">
        <f>IF($A583="","",MONTH($A583)&amp;"/"&amp;YEAR($A583))</f>
        <v/>
      </c>
      <c r="I583" s="21">
        <f>IF($A583="",0,YEAR($A583)*12+MONTH($A583))</f>
        <v/>
      </c>
    </row>
    <row r="584">
      <c r="A584" s="16" t="n"/>
      <c r="B584" s="17" t="n"/>
      <c r="C584" s="17" t="n"/>
      <c r="D584" s="18" t="n"/>
      <c r="E584" s="18" t="n"/>
      <c r="F584" s="17" t="n"/>
      <c r="G584" s="19" t="n"/>
      <c r="H584" s="20">
        <f>IF($A584="","",MONTH($A584)&amp;"/"&amp;YEAR($A584))</f>
        <v/>
      </c>
      <c r="I584" s="21">
        <f>IF($A584="",0,YEAR($A584)*12+MONTH($A584))</f>
        <v/>
      </c>
    </row>
    <row r="585">
      <c r="A585" s="16" t="n"/>
      <c r="B585" s="17" t="n"/>
      <c r="C585" s="17" t="n"/>
      <c r="D585" s="18" t="n"/>
      <c r="E585" s="18" t="n"/>
      <c r="F585" s="17" t="n"/>
      <c r="G585" s="19" t="n"/>
      <c r="H585" s="20">
        <f>IF($A585="","",MONTH($A585)&amp;"/"&amp;YEAR($A585))</f>
        <v/>
      </c>
      <c r="I585" s="21">
        <f>IF($A585="",0,YEAR($A585)*12+MONTH($A585))</f>
        <v/>
      </c>
    </row>
    <row r="586">
      <c r="A586" s="16" t="n"/>
      <c r="B586" s="17" t="n"/>
      <c r="C586" s="17" t="n"/>
      <c r="D586" s="18" t="n"/>
      <c r="E586" s="18" t="n"/>
      <c r="F586" s="17" t="n"/>
      <c r="G586" s="19" t="n"/>
      <c r="H586" s="20">
        <f>IF($A586="","",MONTH($A586)&amp;"/"&amp;YEAR($A586))</f>
        <v/>
      </c>
      <c r="I586" s="21">
        <f>IF($A586="",0,YEAR($A586)*12+MONTH($A586))</f>
        <v/>
      </c>
    </row>
    <row r="587">
      <c r="A587" s="16" t="n"/>
      <c r="B587" s="17" t="n"/>
      <c r="C587" s="17" t="n"/>
      <c r="D587" s="18" t="n"/>
      <c r="E587" s="18" t="n"/>
      <c r="F587" s="17" t="n"/>
      <c r="G587" s="19" t="n"/>
      <c r="H587" s="20">
        <f>IF($A587="","",MONTH($A587)&amp;"/"&amp;YEAR($A587))</f>
        <v/>
      </c>
      <c r="I587" s="21">
        <f>IF($A587="",0,YEAR($A587)*12+MONTH($A587))</f>
        <v/>
      </c>
    </row>
    <row r="588">
      <c r="A588" s="16" t="n"/>
      <c r="B588" s="17" t="n"/>
      <c r="C588" s="17" t="n"/>
      <c r="D588" s="18" t="n"/>
      <c r="E588" s="18" t="n"/>
      <c r="F588" s="17" t="n"/>
      <c r="G588" s="19" t="n"/>
      <c r="H588" s="20">
        <f>IF($A588="","",MONTH($A588)&amp;"/"&amp;YEAR($A588))</f>
        <v/>
      </c>
      <c r="I588" s="21">
        <f>IF($A588="",0,YEAR($A588)*12+MONTH($A588))</f>
        <v/>
      </c>
    </row>
    <row r="589">
      <c r="A589" s="16" t="n"/>
      <c r="B589" s="17" t="n"/>
      <c r="C589" s="17" t="n"/>
      <c r="D589" s="18" t="n"/>
      <c r="E589" s="18" t="n"/>
      <c r="F589" s="17" t="n"/>
      <c r="G589" s="19" t="n"/>
      <c r="H589" s="20">
        <f>IF($A589="","",MONTH($A589)&amp;"/"&amp;YEAR($A589))</f>
        <v/>
      </c>
      <c r="I589" s="21">
        <f>IF($A589="",0,YEAR($A589)*12+MONTH($A589))</f>
        <v/>
      </c>
    </row>
    <row r="590">
      <c r="A590" s="16" t="n"/>
      <c r="B590" s="17" t="n"/>
      <c r="C590" s="17" t="n"/>
      <c r="D590" s="18" t="n"/>
      <c r="E590" s="18" t="n"/>
      <c r="F590" s="17" t="n"/>
      <c r="G590" s="19" t="n"/>
      <c r="H590" s="20">
        <f>IF($A590="","",MONTH($A590)&amp;"/"&amp;YEAR($A590))</f>
        <v/>
      </c>
      <c r="I590" s="21">
        <f>IF($A590="",0,YEAR($A590)*12+MONTH($A590))</f>
        <v/>
      </c>
    </row>
    <row r="591">
      <c r="A591" s="16" t="n"/>
      <c r="B591" s="17" t="n"/>
      <c r="C591" s="17" t="n"/>
      <c r="D591" s="18" t="n"/>
      <c r="E591" s="18" t="n"/>
      <c r="F591" s="17" t="n"/>
      <c r="G591" s="19" t="n"/>
      <c r="H591" s="20">
        <f>IF($A591="","",MONTH($A591)&amp;"/"&amp;YEAR($A591))</f>
        <v/>
      </c>
      <c r="I591" s="21">
        <f>IF($A591="",0,YEAR($A591)*12+MONTH($A591))</f>
        <v/>
      </c>
    </row>
    <row r="592">
      <c r="A592" s="16" t="n"/>
      <c r="B592" s="17" t="n"/>
      <c r="C592" s="17" t="n"/>
      <c r="D592" s="18" t="n"/>
      <c r="E592" s="18" t="n"/>
      <c r="F592" s="17" t="n"/>
      <c r="G592" s="19" t="n"/>
      <c r="H592" s="20">
        <f>IF($A592="","",MONTH($A592)&amp;"/"&amp;YEAR($A592))</f>
        <v/>
      </c>
      <c r="I592" s="21">
        <f>IF($A592="",0,YEAR($A592)*12+MONTH($A592))</f>
        <v/>
      </c>
    </row>
    <row r="593">
      <c r="A593" s="16" t="n"/>
      <c r="B593" s="17" t="n"/>
      <c r="C593" s="17" t="n"/>
      <c r="D593" s="18" t="n"/>
      <c r="E593" s="18" t="n"/>
      <c r="F593" s="17" t="n"/>
      <c r="G593" s="19" t="n"/>
      <c r="H593" s="20">
        <f>IF($A593="","",MONTH($A593)&amp;"/"&amp;YEAR($A593))</f>
        <v/>
      </c>
      <c r="I593" s="21">
        <f>IF($A593="",0,YEAR($A593)*12+MONTH($A593))</f>
        <v/>
      </c>
    </row>
    <row r="594">
      <c r="A594" s="16" t="n"/>
      <c r="B594" s="17" t="n"/>
      <c r="C594" s="17" t="n"/>
      <c r="D594" s="18" t="n"/>
      <c r="E594" s="18" t="n"/>
      <c r="F594" s="17" t="n"/>
      <c r="G594" s="19" t="n"/>
      <c r="H594" s="20">
        <f>IF($A594="","",MONTH($A594)&amp;"/"&amp;YEAR($A594))</f>
        <v/>
      </c>
      <c r="I594" s="21">
        <f>IF($A594="",0,YEAR($A594)*12+MONTH($A594))</f>
        <v/>
      </c>
    </row>
    <row r="595">
      <c r="A595" s="16" t="n"/>
      <c r="B595" s="17" t="n"/>
      <c r="C595" s="17" t="n"/>
      <c r="D595" s="18" t="n"/>
      <c r="E595" s="18" t="n"/>
      <c r="F595" s="17" t="n"/>
      <c r="G595" s="19" t="n"/>
      <c r="H595" s="20">
        <f>IF($A595="","",MONTH($A595)&amp;"/"&amp;YEAR($A595))</f>
        <v/>
      </c>
      <c r="I595" s="21">
        <f>IF($A595="",0,YEAR($A595)*12+MONTH($A595))</f>
        <v/>
      </c>
    </row>
    <row r="596">
      <c r="A596" s="16" t="n"/>
      <c r="B596" s="17" t="n"/>
      <c r="C596" s="17" t="n"/>
      <c r="D596" s="18" t="n"/>
      <c r="E596" s="18" t="n"/>
      <c r="F596" s="17" t="n"/>
      <c r="G596" s="19" t="n"/>
      <c r="H596" s="20">
        <f>IF($A596="","",MONTH($A596)&amp;"/"&amp;YEAR($A596))</f>
        <v/>
      </c>
      <c r="I596" s="21">
        <f>IF($A596="",0,YEAR($A596)*12+MONTH($A596))</f>
        <v/>
      </c>
    </row>
    <row r="597">
      <c r="A597" s="16" t="n"/>
      <c r="B597" s="17" t="n"/>
      <c r="C597" s="17" t="n"/>
      <c r="D597" s="18" t="n"/>
      <c r="E597" s="18" t="n"/>
      <c r="F597" s="17" t="n"/>
      <c r="G597" s="19" t="n"/>
      <c r="H597" s="20">
        <f>IF($A597="","",MONTH($A597)&amp;"/"&amp;YEAR($A597))</f>
        <v/>
      </c>
      <c r="I597" s="21">
        <f>IF($A597="",0,YEAR($A597)*12+MONTH($A597))</f>
        <v/>
      </c>
    </row>
    <row r="598">
      <c r="A598" s="16" t="n"/>
      <c r="B598" s="17" t="n"/>
      <c r="C598" s="17" t="n"/>
      <c r="D598" s="18" t="n"/>
      <c r="E598" s="18" t="n"/>
      <c r="F598" s="17" t="n"/>
      <c r="G598" s="19" t="n"/>
      <c r="H598" s="20">
        <f>IF($A598="","",MONTH($A598)&amp;"/"&amp;YEAR($A598))</f>
        <v/>
      </c>
      <c r="I598" s="21">
        <f>IF($A598="",0,YEAR($A598)*12+MONTH($A598))</f>
        <v/>
      </c>
    </row>
    <row r="599">
      <c r="A599" s="16" t="n"/>
      <c r="B599" s="17" t="n"/>
      <c r="C599" s="17" t="n"/>
      <c r="D599" s="18" t="n"/>
      <c r="E599" s="18" t="n"/>
      <c r="F599" s="17" t="n"/>
      <c r="G599" s="19" t="n"/>
      <c r="H599" s="20">
        <f>IF($A599="","",MONTH($A599)&amp;"/"&amp;YEAR($A599))</f>
        <v/>
      </c>
      <c r="I599" s="21">
        <f>IF($A599="",0,YEAR($A599)*12+MONTH($A599))</f>
        <v/>
      </c>
    </row>
    <row r="600">
      <c r="A600" s="16" t="n"/>
      <c r="B600" s="17" t="n"/>
      <c r="C600" s="17" t="n"/>
      <c r="D600" s="18" t="n"/>
      <c r="E600" s="18" t="n"/>
      <c r="F600" s="17" t="n"/>
      <c r="G600" s="19" t="n"/>
      <c r="H600" s="20">
        <f>IF($A600="","",MONTH($A600)&amp;"/"&amp;YEAR($A600))</f>
        <v/>
      </c>
      <c r="I600" s="21">
        <f>IF($A600="",0,YEAR($A600)*12+MONTH($A600))</f>
        <v/>
      </c>
    </row>
    <row r="601">
      <c r="A601" s="16" t="n"/>
      <c r="B601" s="17" t="n"/>
      <c r="C601" s="17" t="n"/>
      <c r="D601" s="18" t="n"/>
      <c r="E601" s="18" t="n"/>
      <c r="F601" s="17" t="n"/>
      <c r="G601" s="19" t="n"/>
      <c r="H601" s="20">
        <f>IF($A601="","",MONTH($A601)&amp;"/"&amp;YEAR($A601))</f>
        <v/>
      </c>
      <c r="I601" s="21">
        <f>IF($A601="",0,YEAR($A601)*12+MONTH($A601))</f>
        <v/>
      </c>
    </row>
    <row r="602">
      <c r="A602" s="16" t="n"/>
      <c r="B602" s="17" t="n"/>
      <c r="C602" s="17" t="n"/>
      <c r="D602" s="18" t="n"/>
      <c r="E602" s="18" t="n"/>
      <c r="F602" s="17" t="n"/>
      <c r="G602" s="19" t="n"/>
      <c r="H602" s="20">
        <f>IF($A602="","",MONTH($A602)&amp;"/"&amp;YEAR($A602))</f>
        <v/>
      </c>
      <c r="I602" s="21">
        <f>IF($A602="",0,YEAR($A602)*12+MONTH($A602))</f>
        <v/>
      </c>
    </row>
    <row r="603">
      <c r="A603" s="16" t="n"/>
      <c r="B603" s="17" t="n"/>
      <c r="C603" s="17" t="n"/>
      <c r="D603" s="18" t="n"/>
      <c r="E603" s="18" t="n"/>
      <c r="F603" s="17" t="n"/>
      <c r="G603" s="19" t="n"/>
      <c r="H603" s="20">
        <f>IF($A603="","",MONTH($A603)&amp;"/"&amp;YEAR($A603))</f>
        <v/>
      </c>
      <c r="I603" s="21">
        <f>IF($A603="",0,YEAR($A603)*12+MONTH($A603))</f>
        <v/>
      </c>
    </row>
    <row r="604">
      <c r="A604" s="16" t="n"/>
      <c r="B604" s="17" t="n"/>
      <c r="C604" s="17" t="n"/>
      <c r="D604" s="18" t="n"/>
      <c r="E604" s="18" t="n"/>
      <c r="F604" s="17" t="n"/>
      <c r="G604" s="19" t="n"/>
      <c r="H604" s="20">
        <f>IF($A604="","",MONTH($A604)&amp;"/"&amp;YEAR($A604))</f>
        <v/>
      </c>
      <c r="I604" s="21">
        <f>IF($A604="",0,YEAR($A604)*12+MONTH($A604))</f>
        <v/>
      </c>
    </row>
    <row r="605">
      <c r="A605" s="16" t="n"/>
      <c r="B605" s="17" t="n"/>
      <c r="C605" s="17" t="n"/>
      <c r="D605" s="18" t="n"/>
      <c r="E605" s="18" t="n"/>
      <c r="F605" s="17" t="n"/>
      <c r="G605" s="19" t="n"/>
      <c r="H605" s="20">
        <f>IF($A605="","",MONTH($A605)&amp;"/"&amp;YEAR($A605))</f>
        <v/>
      </c>
      <c r="I605" s="21">
        <f>IF($A605="",0,YEAR($A605)*12+MONTH($A605))</f>
        <v/>
      </c>
    </row>
    <row r="606">
      <c r="A606" s="16" t="n"/>
      <c r="B606" s="17" t="n"/>
      <c r="C606" s="17" t="n"/>
      <c r="D606" s="18" t="n"/>
      <c r="E606" s="18" t="n"/>
      <c r="F606" s="17" t="n"/>
      <c r="G606" s="19" t="n"/>
      <c r="H606" s="20">
        <f>IF($A606="","",MONTH($A606)&amp;"/"&amp;YEAR($A606))</f>
        <v/>
      </c>
      <c r="I606" s="21">
        <f>IF($A606="",0,YEAR($A606)*12+MONTH($A606))</f>
        <v/>
      </c>
    </row>
    <row r="607">
      <c r="A607" s="16" t="n"/>
      <c r="B607" s="17" t="n"/>
      <c r="C607" s="17" t="n"/>
      <c r="D607" s="18" t="n"/>
      <c r="E607" s="18" t="n"/>
      <c r="F607" s="17" t="n"/>
      <c r="G607" s="19" t="n"/>
      <c r="H607" s="20">
        <f>IF($A607="","",MONTH($A607)&amp;"/"&amp;YEAR($A607))</f>
        <v/>
      </c>
      <c r="I607" s="21">
        <f>IF($A607="",0,YEAR($A607)*12+MONTH($A607))</f>
        <v/>
      </c>
    </row>
    <row r="608">
      <c r="A608" s="16" t="n"/>
      <c r="B608" s="17" t="n"/>
      <c r="C608" s="17" t="n"/>
      <c r="D608" s="18" t="n"/>
      <c r="E608" s="18" t="n"/>
      <c r="F608" s="17" t="n"/>
      <c r="G608" s="19" t="n"/>
      <c r="H608" s="20">
        <f>IF($A608="","",MONTH($A608)&amp;"/"&amp;YEAR($A608))</f>
        <v/>
      </c>
      <c r="I608" s="21">
        <f>IF($A608="",0,YEAR($A608)*12+MONTH($A608))</f>
        <v/>
      </c>
    </row>
    <row r="609">
      <c r="A609" s="16" t="n"/>
      <c r="B609" s="17" t="n"/>
      <c r="C609" s="17" t="n"/>
      <c r="D609" s="18" t="n"/>
      <c r="E609" s="18" t="n"/>
      <c r="F609" s="17" t="n"/>
      <c r="G609" s="19" t="n"/>
      <c r="H609" s="20">
        <f>IF($A609="","",MONTH($A609)&amp;"/"&amp;YEAR($A609))</f>
        <v/>
      </c>
      <c r="I609" s="21">
        <f>IF($A609="",0,YEAR($A609)*12+MONTH($A609))</f>
        <v/>
      </c>
    </row>
    <row r="610">
      <c r="A610" s="16" t="n"/>
      <c r="B610" s="17" t="n"/>
      <c r="C610" s="17" t="n"/>
      <c r="D610" s="18" t="n"/>
      <c r="E610" s="18" t="n"/>
      <c r="F610" s="17" t="n"/>
      <c r="G610" s="19" t="n"/>
      <c r="H610" s="20">
        <f>IF($A610="","",MONTH($A610)&amp;"/"&amp;YEAR($A610))</f>
        <v/>
      </c>
      <c r="I610" s="21">
        <f>IF($A610="",0,YEAR($A610)*12+MONTH($A610))</f>
        <v/>
      </c>
    </row>
    <row r="611">
      <c r="A611" s="16" t="n"/>
      <c r="B611" s="17" t="n"/>
      <c r="C611" s="17" t="n"/>
      <c r="D611" s="18" t="n"/>
      <c r="E611" s="18" t="n"/>
      <c r="F611" s="17" t="n"/>
      <c r="G611" s="19" t="n"/>
      <c r="H611" s="20">
        <f>IF($A611="","",MONTH($A611)&amp;"/"&amp;YEAR($A611))</f>
        <v/>
      </c>
      <c r="I611" s="21">
        <f>IF($A611="",0,YEAR($A611)*12+MONTH($A611))</f>
        <v/>
      </c>
    </row>
    <row r="612">
      <c r="A612" s="16" t="n"/>
      <c r="B612" s="17" t="n"/>
      <c r="C612" s="17" t="n"/>
      <c r="D612" s="18" t="n"/>
      <c r="E612" s="18" t="n"/>
      <c r="F612" s="17" t="n"/>
      <c r="G612" s="19" t="n"/>
      <c r="H612" s="20">
        <f>IF($A612="","",MONTH($A612)&amp;"/"&amp;YEAR($A612))</f>
        <v/>
      </c>
      <c r="I612" s="21">
        <f>IF($A612="",0,YEAR($A612)*12+MONTH($A612))</f>
        <v/>
      </c>
    </row>
    <row r="613">
      <c r="A613" s="16" t="n"/>
      <c r="B613" s="17" t="n"/>
      <c r="C613" s="17" t="n"/>
      <c r="D613" s="18" t="n"/>
      <c r="E613" s="18" t="n"/>
      <c r="F613" s="17" t="n"/>
      <c r="G613" s="19" t="n"/>
      <c r="H613" s="20">
        <f>IF($A613="","",MONTH($A613)&amp;"/"&amp;YEAR($A613))</f>
        <v/>
      </c>
      <c r="I613" s="21">
        <f>IF($A613="",0,YEAR($A613)*12+MONTH($A613))</f>
        <v/>
      </c>
    </row>
    <row r="614">
      <c r="A614" s="16" t="n"/>
      <c r="B614" s="17" t="n"/>
      <c r="C614" s="17" t="n"/>
      <c r="D614" s="18" t="n"/>
      <c r="E614" s="18" t="n"/>
      <c r="F614" s="17" t="n"/>
      <c r="G614" s="19" t="n"/>
      <c r="H614" s="20">
        <f>IF($A614="","",MONTH($A614)&amp;"/"&amp;YEAR($A614))</f>
        <v/>
      </c>
      <c r="I614" s="21">
        <f>IF($A614="",0,YEAR($A614)*12+MONTH($A614))</f>
        <v/>
      </c>
    </row>
    <row r="615">
      <c r="A615" s="16" t="n"/>
      <c r="B615" s="17" t="n"/>
      <c r="C615" s="17" t="n"/>
      <c r="D615" s="18" t="n"/>
      <c r="E615" s="18" t="n"/>
      <c r="F615" s="17" t="n"/>
      <c r="G615" s="19" t="n"/>
      <c r="H615" s="20">
        <f>IF($A615="","",MONTH($A615)&amp;"/"&amp;YEAR($A615))</f>
        <v/>
      </c>
      <c r="I615" s="21">
        <f>IF($A615="",0,YEAR($A615)*12+MONTH($A615))</f>
        <v/>
      </c>
    </row>
    <row r="616">
      <c r="A616" s="16" t="n"/>
      <c r="B616" s="17" t="n"/>
      <c r="C616" s="17" t="n"/>
      <c r="D616" s="18" t="n"/>
      <c r="E616" s="18" t="n"/>
      <c r="F616" s="17" t="n"/>
      <c r="G616" s="19" t="n"/>
      <c r="H616" s="20">
        <f>IF($A616="","",MONTH($A616)&amp;"/"&amp;YEAR($A616))</f>
        <v/>
      </c>
      <c r="I616" s="21">
        <f>IF($A616="",0,YEAR($A616)*12+MONTH($A616))</f>
        <v/>
      </c>
    </row>
    <row r="617">
      <c r="A617" s="16" t="n"/>
      <c r="B617" s="17" t="n"/>
      <c r="C617" s="17" t="n"/>
      <c r="D617" s="18" t="n"/>
      <c r="E617" s="18" t="n"/>
      <c r="F617" s="17" t="n"/>
      <c r="G617" s="19" t="n"/>
      <c r="H617" s="20">
        <f>IF($A617="","",MONTH($A617)&amp;"/"&amp;YEAR($A617))</f>
        <v/>
      </c>
      <c r="I617" s="21">
        <f>IF($A617="",0,YEAR($A617)*12+MONTH($A617))</f>
        <v/>
      </c>
    </row>
    <row r="618">
      <c r="A618" s="16" t="n"/>
      <c r="B618" s="17" t="n"/>
      <c r="C618" s="17" t="n"/>
      <c r="D618" s="18" t="n"/>
      <c r="E618" s="18" t="n"/>
      <c r="F618" s="17" t="n"/>
      <c r="G618" s="19" t="n"/>
      <c r="H618" s="20">
        <f>IF($A618="","",MONTH($A618)&amp;"/"&amp;YEAR($A618))</f>
        <v/>
      </c>
      <c r="I618" s="21">
        <f>IF($A618="",0,YEAR($A618)*12+MONTH($A618))</f>
        <v/>
      </c>
    </row>
    <row r="619">
      <c r="A619" s="16" t="n"/>
      <c r="B619" s="17" t="n"/>
      <c r="C619" s="17" t="n"/>
      <c r="D619" s="18" t="n"/>
      <c r="E619" s="18" t="n"/>
      <c r="F619" s="17" t="n"/>
      <c r="G619" s="19" t="n"/>
      <c r="H619" s="20">
        <f>IF($A619="","",MONTH($A619)&amp;"/"&amp;YEAR($A619))</f>
        <v/>
      </c>
      <c r="I619" s="21">
        <f>IF($A619="",0,YEAR($A619)*12+MONTH($A619))</f>
        <v/>
      </c>
    </row>
    <row r="620">
      <c r="A620" s="16" t="n"/>
      <c r="B620" s="17" t="n"/>
      <c r="C620" s="17" t="n"/>
      <c r="D620" s="18" t="n"/>
      <c r="E620" s="18" t="n"/>
      <c r="F620" s="17" t="n"/>
      <c r="G620" s="19" t="n"/>
      <c r="H620" s="20">
        <f>IF($A620="","",MONTH($A620)&amp;"/"&amp;YEAR($A620))</f>
        <v/>
      </c>
      <c r="I620" s="21">
        <f>IF($A620="",0,YEAR($A620)*12+MONTH($A620))</f>
        <v/>
      </c>
    </row>
    <row r="621">
      <c r="A621" s="16" t="n"/>
      <c r="B621" s="17" t="n"/>
      <c r="C621" s="17" t="n"/>
      <c r="D621" s="18" t="n"/>
      <c r="E621" s="18" t="n"/>
      <c r="F621" s="17" t="n"/>
      <c r="G621" s="19" t="n"/>
      <c r="H621" s="20">
        <f>IF($A621="","",MONTH($A621)&amp;"/"&amp;YEAR($A621))</f>
        <v/>
      </c>
      <c r="I621" s="21">
        <f>IF($A621="",0,YEAR($A621)*12+MONTH($A621))</f>
        <v/>
      </c>
    </row>
    <row r="622">
      <c r="A622" s="16" t="n"/>
      <c r="B622" s="17" t="n"/>
      <c r="C622" s="17" t="n"/>
      <c r="D622" s="18" t="n"/>
      <c r="E622" s="18" t="n"/>
      <c r="F622" s="17" t="n"/>
      <c r="G622" s="19" t="n"/>
      <c r="H622" s="20">
        <f>IF($A622="","",MONTH($A622)&amp;"/"&amp;YEAR($A622))</f>
        <v/>
      </c>
      <c r="I622" s="21">
        <f>IF($A622="",0,YEAR($A622)*12+MONTH($A622))</f>
        <v/>
      </c>
    </row>
    <row r="623">
      <c r="A623" s="16" t="n"/>
      <c r="B623" s="17" t="n"/>
      <c r="C623" s="17" t="n"/>
      <c r="D623" s="18" t="n"/>
      <c r="E623" s="18" t="n"/>
      <c r="F623" s="17" t="n"/>
      <c r="G623" s="19" t="n"/>
      <c r="H623" s="20">
        <f>IF($A623="","",MONTH($A623)&amp;"/"&amp;YEAR($A623))</f>
        <v/>
      </c>
      <c r="I623" s="21">
        <f>IF($A623="",0,YEAR($A623)*12+MONTH($A623))</f>
        <v/>
      </c>
    </row>
    <row r="624">
      <c r="A624" s="16" t="n"/>
      <c r="B624" s="17" t="n"/>
      <c r="C624" s="17" t="n"/>
      <c r="D624" s="18" t="n"/>
      <c r="E624" s="18" t="n"/>
      <c r="F624" s="17" t="n"/>
      <c r="G624" s="19" t="n"/>
      <c r="H624" s="20">
        <f>IF($A624="","",MONTH($A624)&amp;"/"&amp;YEAR($A624))</f>
        <v/>
      </c>
      <c r="I624" s="21">
        <f>IF($A624="",0,YEAR($A624)*12+MONTH($A624))</f>
        <v/>
      </c>
    </row>
    <row r="625">
      <c r="A625" s="16" t="n"/>
      <c r="B625" s="17" t="n"/>
      <c r="C625" s="17" t="n"/>
      <c r="D625" s="18" t="n"/>
      <c r="E625" s="18" t="n"/>
      <c r="F625" s="17" t="n"/>
      <c r="G625" s="19" t="n"/>
      <c r="H625" s="20">
        <f>IF($A625="","",MONTH($A625)&amp;"/"&amp;YEAR($A625))</f>
        <v/>
      </c>
      <c r="I625" s="21">
        <f>IF($A625="",0,YEAR($A625)*12+MONTH($A625))</f>
        <v/>
      </c>
    </row>
    <row r="626">
      <c r="A626" s="16" t="n"/>
      <c r="B626" s="17" t="n"/>
      <c r="C626" s="17" t="n"/>
      <c r="D626" s="18" t="n"/>
      <c r="E626" s="18" t="n"/>
      <c r="F626" s="17" t="n"/>
      <c r="G626" s="19" t="n"/>
      <c r="H626" s="20">
        <f>IF($A626="","",MONTH($A626)&amp;"/"&amp;YEAR($A626))</f>
        <v/>
      </c>
      <c r="I626" s="21">
        <f>IF($A626="",0,YEAR($A626)*12+MONTH($A626))</f>
        <v/>
      </c>
    </row>
    <row r="627">
      <c r="A627" s="16" t="n"/>
      <c r="B627" s="17" t="n"/>
      <c r="C627" s="17" t="n"/>
      <c r="D627" s="18" t="n"/>
      <c r="E627" s="18" t="n"/>
      <c r="F627" s="17" t="n"/>
      <c r="G627" s="19" t="n"/>
      <c r="H627" s="20">
        <f>IF($A627="","",MONTH($A627)&amp;"/"&amp;YEAR($A627))</f>
        <v/>
      </c>
      <c r="I627" s="21">
        <f>IF($A627="",0,YEAR($A627)*12+MONTH($A627))</f>
        <v/>
      </c>
    </row>
    <row r="628">
      <c r="A628" s="16" t="n"/>
      <c r="B628" s="17" t="n"/>
      <c r="C628" s="17" t="n"/>
      <c r="D628" s="18" t="n"/>
      <c r="E628" s="18" t="n"/>
      <c r="F628" s="17" t="n"/>
      <c r="G628" s="19" t="n"/>
      <c r="H628" s="20">
        <f>IF($A628="","",MONTH($A628)&amp;"/"&amp;YEAR($A628))</f>
        <v/>
      </c>
      <c r="I628" s="21">
        <f>IF($A628="",0,YEAR($A628)*12+MONTH($A628))</f>
        <v/>
      </c>
    </row>
    <row r="629">
      <c r="A629" s="16" t="n"/>
      <c r="B629" s="17" t="n"/>
      <c r="C629" s="17" t="n"/>
      <c r="D629" s="18" t="n"/>
      <c r="E629" s="18" t="n"/>
      <c r="F629" s="17" t="n"/>
      <c r="G629" s="19" t="n"/>
      <c r="H629" s="20">
        <f>IF($A629="","",MONTH($A629)&amp;"/"&amp;YEAR($A629))</f>
        <v/>
      </c>
      <c r="I629" s="21">
        <f>IF($A629="",0,YEAR($A629)*12+MONTH($A629))</f>
        <v/>
      </c>
    </row>
    <row r="630">
      <c r="A630" s="16" t="n"/>
      <c r="B630" s="17" t="n"/>
      <c r="C630" s="17" t="n"/>
      <c r="D630" s="18" t="n"/>
      <c r="E630" s="18" t="n"/>
      <c r="F630" s="17" t="n"/>
      <c r="G630" s="19" t="n"/>
      <c r="H630" s="20">
        <f>IF($A630="","",MONTH($A630)&amp;"/"&amp;YEAR($A630))</f>
        <v/>
      </c>
      <c r="I630" s="21">
        <f>IF($A630="",0,YEAR($A630)*12+MONTH($A630))</f>
        <v/>
      </c>
    </row>
    <row r="631">
      <c r="A631" s="16" t="n"/>
      <c r="B631" s="17" t="n"/>
      <c r="C631" s="17" t="n"/>
      <c r="D631" s="18" t="n"/>
      <c r="E631" s="18" t="n"/>
      <c r="F631" s="17" t="n"/>
      <c r="G631" s="19" t="n"/>
      <c r="H631" s="20">
        <f>IF($A631="","",MONTH($A631)&amp;"/"&amp;YEAR($A631))</f>
        <v/>
      </c>
      <c r="I631" s="21">
        <f>IF($A631="",0,YEAR($A631)*12+MONTH($A631))</f>
        <v/>
      </c>
    </row>
    <row r="632">
      <c r="A632" s="16" t="n"/>
      <c r="B632" s="17" t="n"/>
      <c r="C632" s="17" t="n"/>
      <c r="D632" s="18" t="n"/>
      <c r="E632" s="18" t="n"/>
      <c r="F632" s="17" t="n"/>
      <c r="G632" s="19" t="n"/>
      <c r="H632" s="20">
        <f>IF($A632="","",MONTH($A632)&amp;"/"&amp;YEAR($A632))</f>
        <v/>
      </c>
      <c r="I632" s="21">
        <f>IF($A632="",0,YEAR($A632)*12+MONTH($A632))</f>
        <v/>
      </c>
    </row>
    <row r="633">
      <c r="A633" s="16" t="n"/>
      <c r="B633" s="17" t="n"/>
      <c r="C633" s="17" t="n"/>
      <c r="D633" s="18" t="n"/>
      <c r="E633" s="18" t="n"/>
      <c r="F633" s="17" t="n"/>
      <c r="G633" s="19" t="n"/>
      <c r="H633" s="20">
        <f>IF($A633="","",MONTH($A633)&amp;"/"&amp;YEAR($A633))</f>
        <v/>
      </c>
      <c r="I633" s="21">
        <f>IF($A633="",0,YEAR($A633)*12+MONTH($A633))</f>
        <v/>
      </c>
    </row>
    <row r="634">
      <c r="A634" s="16" t="n"/>
      <c r="B634" s="17" t="n"/>
      <c r="C634" s="17" t="n"/>
      <c r="D634" s="18" t="n"/>
      <c r="E634" s="18" t="n"/>
      <c r="F634" s="17" t="n"/>
      <c r="G634" s="19" t="n"/>
      <c r="H634" s="20">
        <f>IF($A634="","",MONTH($A634)&amp;"/"&amp;YEAR($A634))</f>
        <v/>
      </c>
      <c r="I634" s="21">
        <f>IF($A634="",0,YEAR($A634)*12+MONTH($A634))</f>
        <v/>
      </c>
    </row>
    <row r="635">
      <c r="A635" s="16" t="n"/>
      <c r="B635" s="17" t="n"/>
      <c r="C635" s="17" t="n"/>
      <c r="D635" s="18" t="n"/>
      <c r="E635" s="18" t="n"/>
      <c r="F635" s="17" t="n"/>
      <c r="G635" s="19" t="n"/>
      <c r="H635" s="20">
        <f>IF($A635="","",MONTH($A635)&amp;"/"&amp;YEAR($A635))</f>
        <v/>
      </c>
      <c r="I635" s="21">
        <f>IF($A635="",0,YEAR($A635)*12+MONTH($A635))</f>
        <v/>
      </c>
    </row>
    <row r="636">
      <c r="A636" s="16" t="n"/>
      <c r="B636" s="17" t="n"/>
      <c r="C636" s="17" t="n"/>
      <c r="D636" s="18" t="n"/>
      <c r="E636" s="18" t="n"/>
      <c r="F636" s="17" t="n"/>
      <c r="G636" s="19" t="n"/>
      <c r="H636" s="20">
        <f>IF($A636="","",MONTH($A636)&amp;"/"&amp;YEAR($A636))</f>
        <v/>
      </c>
      <c r="I636" s="21">
        <f>IF($A636="",0,YEAR($A636)*12+MONTH($A636))</f>
        <v/>
      </c>
    </row>
    <row r="637">
      <c r="A637" s="16" t="n"/>
      <c r="B637" s="17" t="n"/>
      <c r="C637" s="17" t="n"/>
      <c r="D637" s="18" t="n"/>
      <c r="E637" s="18" t="n"/>
      <c r="F637" s="17" t="n"/>
      <c r="G637" s="19" t="n"/>
      <c r="H637" s="20">
        <f>IF($A637="","",MONTH($A637)&amp;"/"&amp;YEAR($A637))</f>
        <v/>
      </c>
      <c r="I637" s="21">
        <f>IF($A637="",0,YEAR($A637)*12+MONTH($A637))</f>
        <v/>
      </c>
    </row>
    <row r="638">
      <c r="A638" s="16" t="n"/>
      <c r="B638" s="17" t="n"/>
      <c r="C638" s="17" t="n"/>
      <c r="D638" s="18" t="n"/>
      <c r="E638" s="18" t="n"/>
      <c r="F638" s="17" t="n"/>
      <c r="G638" s="19" t="n"/>
      <c r="H638" s="20">
        <f>IF($A638="","",MONTH($A638)&amp;"/"&amp;YEAR($A638))</f>
        <v/>
      </c>
      <c r="I638" s="21">
        <f>IF($A638="",0,YEAR($A638)*12+MONTH($A638))</f>
        <v/>
      </c>
    </row>
    <row r="639">
      <c r="A639" s="16" t="n"/>
      <c r="B639" s="17" t="n"/>
      <c r="C639" s="17" t="n"/>
      <c r="D639" s="18" t="n"/>
      <c r="E639" s="18" t="n"/>
      <c r="F639" s="17" t="n"/>
      <c r="G639" s="19" t="n"/>
      <c r="H639" s="20">
        <f>IF($A639="","",MONTH($A639)&amp;"/"&amp;YEAR($A639))</f>
        <v/>
      </c>
      <c r="I639" s="21">
        <f>IF($A639="",0,YEAR($A639)*12+MONTH($A639))</f>
        <v/>
      </c>
    </row>
    <row r="640">
      <c r="A640" s="16" t="n"/>
      <c r="B640" s="17" t="n"/>
      <c r="C640" s="17" t="n"/>
      <c r="D640" s="18" t="n"/>
      <c r="E640" s="18" t="n"/>
      <c r="F640" s="17" t="n"/>
      <c r="G640" s="19" t="n"/>
      <c r="H640" s="20">
        <f>IF($A640="","",MONTH($A640)&amp;"/"&amp;YEAR($A640))</f>
        <v/>
      </c>
      <c r="I640" s="21">
        <f>IF($A640="",0,YEAR($A640)*12+MONTH($A640))</f>
        <v/>
      </c>
    </row>
    <row r="641">
      <c r="A641" s="16" t="n"/>
      <c r="B641" s="17" t="n"/>
      <c r="C641" s="17" t="n"/>
      <c r="D641" s="18" t="n"/>
      <c r="E641" s="18" t="n"/>
      <c r="F641" s="17" t="n"/>
      <c r="G641" s="19" t="n"/>
      <c r="H641" s="20">
        <f>IF($A641="","",MONTH($A641)&amp;"/"&amp;YEAR($A641))</f>
        <v/>
      </c>
      <c r="I641" s="21">
        <f>IF($A641="",0,YEAR($A641)*12+MONTH($A641))</f>
        <v/>
      </c>
    </row>
    <row r="642">
      <c r="A642" s="16" t="n"/>
      <c r="B642" s="17" t="n"/>
      <c r="C642" s="17" t="n"/>
      <c r="D642" s="18" t="n"/>
      <c r="E642" s="18" t="n"/>
      <c r="F642" s="17" t="n"/>
      <c r="G642" s="19" t="n"/>
      <c r="H642" s="20">
        <f>IF($A642="","",MONTH($A642)&amp;"/"&amp;YEAR($A642))</f>
        <v/>
      </c>
      <c r="I642" s="21">
        <f>IF($A642="",0,YEAR($A642)*12+MONTH($A642))</f>
        <v/>
      </c>
    </row>
    <row r="643">
      <c r="A643" s="16" t="n"/>
      <c r="B643" s="17" t="n"/>
      <c r="C643" s="17" t="n"/>
      <c r="D643" s="18" t="n"/>
      <c r="E643" s="18" t="n"/>
      <c r="F643" s="17" t="n"/>
      <c r="G643" s="19" t="n"/>
      <c r="H643" s="20">
        <f>IF($A643="","",MONTH($A643)&amp;"/"&amp;YEAR($A643))</f>
        <v/>
      </c>
      <c r="I643" s="21">
        <f>IF($A643="",0,YEAR($A643)*12+MONTH($A643))</f>
        <v/>
      </c>
    </row>
    <row r="644">
      <c r="A644" s="16" t="n"/>
      <c r="B644" s="17" t="n"/>
      <c r="C644" s="17" t="n"/>
      <c r="D644" s="18" t="n"/>
      <c r="E644" s="18" t="n"/>
      <c r="F644" s="17" t="n"/>
      <c r="G644" s="19" t="n"/>
      <c r="H644" s="20">
        <f>IF($A644="","",MONTH($A644)&amp;"/"&amp;YEAR($A644))</f>
        <v/>
      </c>
      <c r="I644" s="21">
        <f>IF($A644="",0,YEAR($A644)*12+MONTH($A644))</f>
        <v/>
      </c>
    </row>
    <row r="645">
      <c r="A645" s="16" t="n"/>
      <c r="B645" s="17" t="n"/>
      <c r="C645" s="17" t="n"/>
      <c r="D645" s="18" t="n"/>
      <c r="E645" s="18" t="n"/>
      <c r="F645" s="17" t="n"/>
      <c r="G645" s="19" t="n"/>
      <c r="H645" s="20">
        <f>IF($A645="","",MONTH($A645)&amp;"/"&amp;YEAR($A645))</f>
        <v/>
      </c>
      <c r="I645" s="21">
        <f>IF($A645="",0,YEAR($A645)*12+MONTH($A645))</f>
        <v/>
      </c>
    </row>
    <row r="646">
      <c r="A646" s="16" t="n"/>
      <c r="B646" s="17" t="n"/>
      <c r="C646" s="17" t="n"/>
      <c r="D646" s="18" t="n"/>
      <c r="E646" s="18" t="n"/>
      <c r="F646" s="17" t="n"/>
      <c r="G646" s="19" t="n"/>
      <c r="H646" s="20">
        <f>IF($A646="","",MONTH($A646)&amp;"/"&amp;YEAR($A646))</f>
        <v/>
      </c>
      <c r="I646" s="21">
        <f>IF($A646="",0,YEAR($A646)*12+MONTH($A646))</f>
        <v/>
      </c>
    </row>
    <row r="647">
      <c r="A647" s="16" t="n"/>
      <c r="B647" s="17" t="n"/>
      <c r="C647" s="17" t="n"/>
      <c r="D647" s="18" t="n"/>
      <c r="E647" s="18" t="n"/>
      <c r="F647" s="17" t="n"/>
      <c r="G647" s="19" t="n"/>
      <c r="H647" s="20">
        <f>IF($A647="","",MONTH($A647)&amp;"/"&amp;YEAR($A647))</f>
        <v/>
      </c>
      <c r="I647" s="21">
        <f>IF($A647="",0,YEAR($A647)*12+MONTH($A647))</f>
        <v/>
      </c>
    </row>
    <row r="648">
      <c r="A648" s="16" t="n"/>
      <c r="B648" s="17" t="n"/>
      <c r="C648" s="17" t="n"/>
      <c r="D648" s="18" t="n"/>
      <c r="E648" s="18" t="n"/>
      <c r="F648" s="17" t="n"/>
      <c r="G648" s="19" t="n"/>
      <c r="H648" s="20">
        <f>IF($A648="","",MONTH($A648)&amp;"/"&amp;YEAR($A648))</f>
        <v/>
      </c>
      <c r="I648" s="21">
        <f>IF($A648="",0,YEAR($A648)*12+MONTH($A648))</f>
        <v/>
      </c>
    </row>
    <row r="649">
      <c r="A649" s="16" t="n"/>
      <c r="B649" s="17" t="n"/>
      <c r="C649" s="17" t="n"/>
      <c r="D649" s="18" t="n"/>
      <c r="E649" s="18" t="n"/>
      <c r="F649" s="17" t="n"/>
      <c r="G649" s="19" t="n"/>
      <c r="H649" s="20">
        <f>IF($A649="","",MONTH($A649)&amp;"/"&amp;YEAR($A649))</f>
        <v/>
      </c>
      <c r="I649" s="21">
        <f>IF($A649="",0,YEAR($A649)*12+MONTH($A649))</f>
        <v/>
      </c>
    </row>
    <row r="650">
      <c r="A650" s="16" t="n"/>
      <c r="B650" s="17" t="n"/>
      <c r="C650" s="17" t="n"/>
      <c r="D650" s="18" t="n"/>
      <c r="E650" s="18" t="n"/>
      <c r="F650" s="17" t="n"/>
      <c r="G650" s="19" t="n"/>
      <c r="H650" s="20">
        <f>IF($A650="","",MONTH($A650)&amp;"/"&amp;YEAR($A650))</f>
        <v/>
      </c>
      <c r="I650" s="21">
        <f>IF($A650="",0,YEAR($A650)*12+MONTH($A650))</f>
        <v/>
      </c>
    </row>
    <row r="651">
      <c r="A651" s="16" t="n"/>
      <c r="B651" s="17" t="n"/>
      <c r="C651" s="17" t="n"/>
      <c r="D651" s="18" t="n"/>
      <c r="E651" s="18" t="n"/>
      <c r="F651" s="17" t="n"/>
      <c r="G651" s="19" t="n"/>
      <c r="H651" s="20">
        <f>IF($A651="","",MONTH($A651)&amp;"/"&amp;YEAR($A651))</f>
        <v/>
      </c>
      <c r="I651" s="21">
        <f>IF($A651="",0,YEAR($A651)*12+MONTH($A651))</f>
        <v/>
      </c>
    </row>
    <row r="652">
      <c r="A652" s="16" t="n"/>
      <c r="B652" s="17" t="n"/>
      <c r="C652" s="17" t="n"/>
      <c r="D652" s="18" t="n"/>
      <c r="E652" s="18" t="n"/>
      <c r="F652" s="17" t="n"/>
      <c r="G652" s="19" t="n"/>
      <c r="H652" s="20">
        <f>IF($A652="","",MONTH($A652)&amp;"/"&amp;YEAR($A652))</f>
        <v/>
      </c>
      <c r="I652" s="21">
        <f>IF($A652="",0,YEAR($A652)*12+MONTH($A652))</f>
        <v/>
      </c>
    </row>
    <row r="653">
      <c r="A653" s="16" t="n"/>
      <c r="B653" s="17" t="n"/>
      <c r="C653" s="17" t="n"/>
      <c r="D653" s="18" t="n"/>
      <c r="E653" s="18" t="n"/>
      <c r="F653" s="17" t="n"/>
      <c r="G653" s="19" t="n"/>
      <c r="H653" s="20">
        <f>IF($A653="","",MONTH($A653)&amp;"/"&amp;YEAR($A653))</f>
        <v/>
      </c>
      <c r="I653" s="21">
        <f>IF($A653="",0,YEAR($A653)*12+MONTH($A653))</f>
        <v/>
      </c>
    </row>
    <row r="654">
      <c r="A654" s="16" t="n"/>
      <c r="B654" s="17" t="n"/>
      <c r="C654" s="17" t="n"/>
      <c r="D654" s="18" t="n"/>
      <c r="E654" s="18" t="n"/>
      <c r="F654" s="17" t="n"/>
      <c r="G654" s="19" t="n"/>
      <c r="H654" s="20">
        <f>IF($A654="","",MONTH($A654)&amp;"/"&amp;YEAR($A654))</f>
        <v/>
      </c>
      <c r="I654" s="21">
        <f>IF($A654="",0,YEAR($A654)*12+MONTH($A654))</f>
        <v/>
      </c>
    </row>
    <row r="655">
      <c r="A655" s="16" t="n"/>
      <c r="B655" s="17" t="n"/>
      <c r="C655" s="17" t="n"/>
      <c r="D655" s="18" t="n"/>
      <c r="E655" s="18" t="n"/>
      <c r="F655" s="17" t="n"/>
      <c r="G655" s="19" t="n"/>
      <c r="H655" s="20">
        <f>IF($A655="","",MONTH($A655)&amp;"/"&amp;YEAR($A655))</f>
        <v/>
      </c>
      <c r="I655" s="21">
        <f>IF($A655="",0,YEAR($A655)*12+MONTH($A655))</f>
        <v/>
      </c>
    </row>
    <row r="656">
      <c r="A656" s="16" t="n"/>
      <c r="B656" s="17" t="n"/>
      <c r="C656" s="17" t="n"/>
      <c r="D656" s="18" t="n"/>
      <c r="E656" s="18" t="n"/>
      <c r="F656" s="17" t="n"/>
      <c r="G656" s="19" t="n"/>
      <c r="H656" s="20">
        <f>IF($A656="","",MONTH($A656)&amp;"/"&amp;YEAR($A656))</f>
        <v/>
      </c>
      <c r="I656" s="21">
        <f>IF($A656="",0,YEAR($A656)*12+MONTH($A656))</f>
        <v/>
      </c>
    </row>
    <row r="657">
      <c r="A657" s="16" t="n"/>
      <c r="B657" s="17" t="n"/>
      <c r="C657" s="17" t="n"/>
      <c r="D657" s="18" t="n"/>
      <c r="E657" s="18" t="n"/>
      <c r="F657" s="17" t="n"/>
      <c r="G657" s="19" t="n"/>
      <c r="H657" s="20">
        <f>IF($A657="","",MONTH($A657)&amp;"/"&amp;YEAR($A657))</f>
        <v/>
      </c>
      <c r="I657" s="21">
        <f>IF($A657="",0,YEAR($A657)*12+MONTH($A657))</f>
        <v/>
      </c>
    </row>
    <row r="658">
      <c r="A658" s="16" t="n"/>
      <c r="B658" s="17" t="n"/>
      <c r="C658" s="17" t="n"/>
      <c r="D658" s="18" t="n"/>
      <c r="E658" s="18" t="n"/>
      <c r="F658" s="17" t="n"/>
      <c r="G658" s="19" t="n"/>
      <c r="H658" s="20">
        <f>IF($A658="","",MONTH($A658)&amp;"/"&amp;YEAR($A658))</f>
        <v/>
      </c>
      <c r="I658" s="21">
        <f>IF($A658="",0,YEAR($A658)*12+MONTH($A658))</f>
        <v/>
      </c>
    </row>
    <row r="659">
      <c r="A659" s="16" t="n"/>
      <c r="B659" s="17" t="n"/>
      <c r="C659" s="17" t="n"/>
      <c r="D659" s="18" t="n"/>
      <c r="E659" s="18" t="n"/>
      <c r="F659" s="17" t="n"/>
      <c r="G659" s="19" t="n"/>
      <c r="H659" s="20">
        <f>IF($A659="","",MONTH($A659)&amp;"/"&amp;YEAR($A659))</f>
        <v/>
      </c>
      <c r="I659" s="21">
        <f>IF($A659="",0,YEAR($A659)*12+MONTH($A659))</f>
        <v/>
      </c>
    </row>
    <row r="660">
      <c r="A660" s="16" t="n"/>
      <c r="B660" s="17" t="n"/>
      <c r="C660" s="17" t="n"/>
      <c r="D660" s="18" t="n"/>
      <c r="E660" s="18" t="n"/>
      <c r="F660" s="17" t="n"/>
      <c r="G660" s="19" t="n"/>
      <c r="H660" s="20">
        <f>IF($A660="","",MONTH($A660)&amp;"/"&amp;YEAR($A660))</f>
        <v/>
      </c>
      <c r="I660" s="21">
        <f>IF($A660="",0,YEAR($A660)*12+MONTH($A660))</f>
        <v/>
      </c>
    </row>
    <row r="661">
      <c r="A661" s="16" t="n"/>
      <c r="B661" s="17" t="n"/>
      <c r="C661" s="17" t="n"/>
      <c r="D661" s="18" t="n"/>
      <c r="E661" s="18" t="n"/>
      <c r="F661" s="17" t="n"/>
      <c r="G661" s="19" t="n"/>
      <c r="H661" s="20">
        <f>IF($A661="","",MONTH($A661)&amp;"/"&amp;YEAR($A661))</f>
        <v/>
      </c>
      <c r="I661" s="21">
        <f>IF($A661="",0,YEAR($A661)*12+MONTH($A661))</f>
        <v/>
      </c>
    </row>
    <row r="662">
      <c r="A662" s="16" t="n"/>
      <c r="B662" s="17" t="n"/>
      <c r="C662" s="17" t="n"/>
      <c r="D662" s="18" t="n"/>
      <c r="E662" s="18" t="n"/>
      <c r="F662" s="17" t="n"/>
      <c r="G662" s="19" t="n"/>
      <c r="H662" s="20">
        <f>IF($A662="","",MONTH($A662)&amp;"/"&amp;YEAR($A662))</f>
        <v/>
      </c>
      <c r="I662" s="21">
        <f>IF($A662="",0,YEAR($A662)*12+MONTH($A662))</f>
        <v/>
      </c>
    </row>
    <row r="663">
      <c r="A663" s="16" t="n"/>
      <c r="B663" s="17" t="n"/>
      <c r="C663" s="17" t="n"/>
      <c r="D663" s="18" t="n"/>
      <c r="E663" s="18" t="n"/>
      <c r="F663" s="17" t="n"/>
      <c r="G663" s="19" t="n"/>
      <c r="H663" s="20">
        <f>IF($A663="","",MONTH($A663)&amp;"/"&amp;YEAR($A663))</f>
        <v/>
      </c>
      <c r="I663" s="21">
        <f>IF($A663="",0,YEAR($A663)*12+MONTH($A663))</f>
        <v/>
      </c>
    </row>
    <row r="664">
      <c r="A664" s="16" t="n"/>
      <c r="B664" s="17" t="n"/>
      <c r="C664" s="17" t="n"/>
      <c r="D664" s="18" t="n"/>
      <c r="E664" s="18" t="n"/>
      <c r="F664" s="17" t="n"/>
      <c r="G664" s="19" t="n"/>
      <c r="H664" s="20">
        <f>IF($A664="","",MONTH($A664)&amp;"/"&amp;YEAR($A664))</f>
        <v/>
      </c>
      <c r="I664" s="21">
        <f>IF($A664="",0,YEAR($A664)*12+MONTH($A664))</f>
        <v/>
      </c>
    </row>
    <row r="665">
      <c r="A665" s="16" t="n"/>
      <c r="B665" s="17" t="n"/>
      <c r="C665" s="17" t="n"/>
      <c r="D665" s="18" t="n"/>
      <c r="E665" s="18" t="n"/>
      <c r="F665" s="17" t="n"/>
      <c r="G665" s="19" t="n"/>
      <c r="H665" s="20">
        <f>IF($A665="","",MONTH($A665)&amp;"/"&amp;YEAR($A665))</f>
        <v/>
      </c>
      <c r="I665" s="21">
        <f>IF($A665="",0,YEAR($A665)*12+MONTH($A665))</f>
        <v/>
      </c>
    </row>
    <row r="666">
      <c r="A666" s="16" t="n"/>
      <c r="B666" s="17" t="n"/>
      <c r="C666" s="17" t="n"/>
      <c r="D666" s="18" t="n"/>
      <c r="E666" s="18" t="n"/>
      <c r="F666" s="17" t="n"/>
      <c r="G666" s="19" t="n"/>
      <c r="H666" s="20">
        <f>IF($A666="","",MONTH($A666)&amp;"/"&amp;YEAR($A666))</f>
        <v/>
      </c>
      <c r="I666" s="21">
        <f>IF($A666="",0,YEAR($A666)*12+MONTH($A666))</f>
        <v/>
      </c>
    </row>
    <row r="667">
      <c r="A667" s="16" t="n"/>
      <c r="B667" s="17" t="n"/>
      <c r="C667" s="17" t="n"/>
      <c r="D667" s="18" t="n"/>
      <c r="E667" s="18" t="n"/>
      <c r="F667" s="17" t="n"/>
      <c r="G667" s="19" t="n"/>
      <c r="H667" s="20">
        <f>IF($A667="","",MONTH($A667)&amp;"/"&amp;YEAR($A667))</f>
        <v/>
      </c>
      <c r="I667" s="21">
        <f>IF($A667="",0,YEAR($A667)*12+MONTH($A667))</f>
        <v/>
      </c>
    </row>
    <row r="668">
      <c r="A668" s="16" t="n"/>
      <c r="B668" s="17" t="n"/>
      <c r="C668" s="17" t="n"/>
      <c r="D668" s="18" t="n"/>
      <c r="E668" s="18" t="n"/>
      <c r="F668" s="17" t="n"/>
      <c r="G668" s="19" t="n"/>
      <c r="H668" s="20">
        <f>IF($A668="","",MONTH($A668)&amp;"/"&amp;YEAR($A668))</f>
        <v/>
      </c>
      <c r="I668" s="21">
        <f>IF($A668="",0,YEAR($A668)*12+MONTH($A668))</f>
        <v/>
      </c>
    </row>
    <row r="669">
      <c r="A669" s="16" t="n"/>
      <c r="B669" s="17" t="n"/>
      <c r="C669" s="17" t="n"/>
      <c r="D669" s="18" t="n"/>
      <c r="E669" s="18" t="n"/>
      <c r="F669" s="17" t="n"/>
      <c r="G669" s="19" t="n"/>
      <c r="H669" s="20">
        <f>IF($A669="","",MONTH($A669)&amp;"/"&amp;YEAR($A669))</f>
        <v/>
      </c>
      <c r="I669" s="21">
        <f>IF($A669="",0,YEAR($A669)*12+MONTH($A669))</f>
        <v/>
      </c>
    </row>
    <row r="670">
      <c r="A670" s="16" t="n"/>
      <c r="B670" s="17" t="n"/>
      <c r="C670" s="17" t="n"/>
      <c r="D670" s="18" t="n"/>
      <c r="E670" s="18" t="n"/>
      <c r="F670" s="17" t="n"/>
      <c r="G670" s="19" t="n"/>
      <c r="H670" s="20">
        <f>IF($A670="","",MONTH($A670)&amp;"/"&amp;YEAR($A670))</f>
        <v/>
      </c>
      <c r="I670" s="21">
        <f>IF($A670="",0,YEAR($A670)*12+MONTH($A670))</f>
        <v/>
      </c>
    </row>
    <row r="671">
      <c r="A671" s="16" t="n"/>
      <c r="B671" s="17" t="n"/>
      <c r="C671" s="17" t="n"/>
      <c r="D671" s="18" t="n"/>
      <c r="E671" s="18" t="n"/>
      <c r="F671" s="17" t="n"/>
      <c r="G671" s="19" t="n"/>
      <c r="H671" s="20">
        <f>IF($A671="","",MONTH($A671)&amp;"/"&amp;YEAR($A671))</f>
        <v/>
      </c>
      <c r="I671" s="21">
        <f>IF($A671="",0,YEAR($A671)*12+MONTH($A671))</f>
        <v/>
      </c>
    </row>
    <row r="672">
      <c r="A672" s="16" t="n"/>
      <c r="B672" s="17" t="n"/>
      <c r="C672" s="17" t="n"/>
      <c r="D672" s="18" t="n"/>
      <c r="E672" s="18" t="n"/>
      <c r="F672" s="17" t="n"/>
      <c r="G672" s="19" t="n"/>
      <c r="H672" s="20">
        <f>IF($A672="","",MONTH($A672)&amp;"/"&amp;YEAR($A672))</f>
        <v/>
      </c>
      <c r="I672" s="21">
        <f>IF($A672="",0,YEAR($A672)*12+MONTH($A672))</f>
        <v/>
      </c>
    </row>
    <row r="673">
      <c r="A673" s="16" t="n"/>
      <c r="B673" s="17" t="n"/>
      <c r="C673" s="17" t="n"/>
      <c r="D673" s="18" t="n"/>
      <c r="E673" s="18" t="n"/>
      <c r="F673" s="17" t="n"/>
      <c r="G673" s="19" t="n"/>
      <c r="H673" s="20">
        <f>IF($A673="","",MONTH($A673)&amp;"/"&amp;YEAR($A673))</f>
        <v/>
      </c>
      <c r="I673" s="21">
        <f>IF($A673="",0,YEAR($A673)*12+MONTH($A673))</f>
        <v/>
      </c>
    </row>
    <row r="674">
      <c r="A674" s="16" t="n"/>
      <c r="B674" s="17" t="n"/>
      <c r="C674" s="17" t="n"/>
      <c r="D674" s="18" t="n"/>
      <c r="E674" s="18" t="n"/>
      <c r="F674" s="17" t="n"/>
      <c r="G674" s="19" t="n"/>
      <c r="H674" s="20">
        <f>IF($A674="","",MONTH($A674)&amp;"/"&amp;YEAR($A674))</f>
        <v/>
      </c>
      <c r="I674" s="21">
        <f>IF($A674="",0,YEAR($A674)*12+MONTH($A674))</f>
        <v/>
      </c>
    </row>
    <row r="675">
      <c r="A675" s="16" t="n"/>
      <c r="B675" s="17" t="n"/>
      <c r="C675" s="17" t="n"/>
      <c r="D675" s="18" t="n"/>
      <c r="E675" s="18" t="n"/>
      <c r="F675" s="17" t="n"/>
      <c r="G675" s="19" t="n"/>
      <c r="H675" s="20">
        <f>IF($A675="","",MONTH($A675)&amp;"/"&amp;YEAR($A675))</f>
        <v/>
      </c>
      <c r="I675" s="21">
        <f>IF($A675="",0,YEAR($A675)*12+MONTH($A675))</f>
        <v/>
      </c>
    </row>
    <row r="676">
      <c r="A676" s="16" t="n"/>
      <c r="B676" s="17" t="n"/>
      <c r="C676" s="17" t="n"/>
      <c r="D676" s="18" t="n"/>
      <c r="E676" s="18" t="n"/>
      <c r="F676" s="17" t="n"/>
      <c r="G676" s="19" t="n"/>
      <c r="H676" s="20">
        <f>IF($A676="","",MONTH($A676)&amp;"/"&amp;YEAR($A676))</f>
        <v/>
      </c>
      <c r="I676" s="21">
        <f>IF($A676="",0,YEAR($A676)*12+MONTH($A676))</f>
        <v/>
      </c>
    </row>
    <row r="677">
      <c r="A677" s="16" t="n"/>
      <c r="B677" s="17" t="n"/>
      <c r="C677" s="17" t="n"/>
      <c r="D677" s="18" t="n"/>
      <c r="E677" s="18" t="n"/>
      <c r="F677" s="17" t="n"/>
      <c r="G677" s="19" t="n"/>
      <c r="H677" s="20">
        <f>IF($A677="","",MONTH($A677)&amp;"/"&amp;YEAR($A677))</f>
        <v/>
      </c>
      <c r="I677" s="21">
        <f>IF($A677="",0,YEAR($A677)*12+MONTH($A677))</f>
        <v/>
      </c>
    </row>
    <row r="678">
      <c r="A678" s="16" t="n"/>
      <c r="B678" s="17" t="n"/>
      <c r="C678" s="17" t="n"/>
      <c r="D678" s="18" t="n"/>
      <c r="E678" s="18" t="n"/>
      <c r="F678" s="17" t="n"/>
      <c r="G678" s="19" t="n"/>
      <c r="H678" s="20">
        <f>IF($A678="","",MONTH($A678)&amp;"/"&amp;YEAR($A678))</f>
        <v/>
      </c>
      <c r="I678" s="21">
        <f>IF($A678="",0,YEAR($A678)*12+MONTH($A678))</f>
        <v/>
      </c>
    </row>
    <row r="679">
      <c r="A679" s="16" t="n"/>
      <c r="B679" s="17" t="n"/>
      <c r="C679" s="17" t="n"/>
      <c r="D679" s="18" t="n"/>
      <c r="E679" s="18" t="n"/>
      <c r="F679" s="17" t="n"/>
      <c r="G679" s="19" t="n"/>
      <c r="H679" s="20">
        <f>IF($A679="","",MONTH($A679)&amp;"/"&amp;YEAR($A679))</f>
        <v/>
      </c>
      <c r="I679" s="21">
        <f>IF($A679="",0,YEAR($A679)*12+MONTH($A679))</f>
        <v/>
      </c>
    </row>
    <row r="680">
      <c r="A680" s="16" t="n"/>
      <c r="B680" s="17" t="n"/>
      <c r="C680" s="17" t="n"/>
      <c r="D680" s="18" t="n"/>
      <c r="E680" s="18" t="n"/>
      <c r="F680" s="17" t="n"/>
      <c r="G680" s="19" t="n"/>
      <c r="H680" s="20">
        <f>IF($A680="","",MONTH($A680)&amp;"/"&amp;YEAR($A680))</f>
        <v/>
      </c>
      <c r="I680" s="21">
        <f>IF($A680="",0,YEAR($A680)*12+MONTH($A680))</f>
        <v/>
      </c>
    </row>
    <row r="681">
      <c r="A681" s="16" t="n"/>
      <c r="B681" s="17" t="n"/>
      <c r="C681" s="17" t="n"/>
      <c r="D681" s="18" t="n"/>
      <c r="E681" s="18" t="n"/>
      <c r="F681" s="17" t="n"/>
      <c r="G681" s="19" t="n"/>
      <c r="H681" s="20">
        <f>IF($A681="","",MONTH($A681)&amp;"/"&amp;YEAR($A681))</f>
        <v/>
      </c>
      <c r="I681" s="21">
        <f>IF($A681="",0,YEAR($A681)*12+MONTH($A681))</f>
        <v/>
      </c>
    </row>
    <row r="682">
      <c r="A682" s="16" t="n"/>
      <c r="B682" s="17" t="n"/>
      <c r="C682" s="17" t="n"/>
      <c r="D682" s="18" t="n"/>
      <c r="E682" s="18" t="n"/>
      <c r="F682" s="17" t="n"/>
      <c r="G682" s="19" t="n"/>
      <c r="H682" s="20">
        <f>IF($A682="","",MONTH($A682)&amp;"/"&amp;YEAR($A682))</f>
        <v/>
      </c>
      <c r="I682" s="21">
        <f>IF($A682="",0,YEAR($A682)*12+MONTH($A682))</f>
        <v/>
      </c>
    </row>
    <row r="683">
      <c r="A683" s="16" t="n"/>
      <c r="B683" s="17" t="n"/>
      <c r="C683" s="17" t="n"/>
      <c r="D683" s="18" t="n"/>
      <c r="E683" s="18" t="n"/>
      <c r="F683" s="17" t="n"/>
      <c r="G683" s="19" t="n"/>
      <c r="H683" s="20">
        <f>IF($A683="","",MONTH($A683)&amp;"/"&amp;YEAR($A683))</f>
        <v/>
      </c>
      <c r="I683" s="21">
        <f>IF($A683="",0,YEAR($A683)*12+MONTH($A683))</f>
        <v/>
      </c>
    </row>
    <row r="684">
      <c r="A684" s="16" t="n"/>
      <c r="B684" s="17" t="n"/>
      <c r="C684" s="17" t="n"/>
      <c r="D684" s="18" t="n"/>
      <c r="E684" s="18" t="n"/>
      <c r="F684" s="17" t="n"/>
      <c r="G684" s="19" t="n"/>
      <c r="H684" s="20">
        <f>IF($A684="","",MONTH($A684)&amp;"/"&amp;YEAR($A684))</f>
        <v/>
      </c>
      <c r="I684" s="21">
        <f>IF($A684="",0,YEAR($A684)*12+MONTH($A684))</f>
        <v/>
      </c>
    </row>
    <row r="685">
      <c r="A685" s="16" t="n"/>
      <c r="B685" s="17" t="n"/>
      <c r="C685" s="17" t="n"/>
      <c r="D685" s="18" t="n"/>
      <c r="E685" s="18" t="n"/>
      <c r="F685" s="17" t="n"/>
      <c r="G685" s="19" t="n"/>
      <c r="H685" s="20">
        <f>IF($A685="","",MONTH($A685)&amp;"/"&amp;YEAR($A685))</f>
        <v/>
      </c>
      <c r="I685" s="21">
        <f>IF($A685="",0,YEAR($A685)*12+MONTH($A685))</f>
        <v/>
      </c>
    </row>
    <row r="686">
      <c r="A686" s="16" t="n"/>
      <c r="B686" s="17" t="n"/>
      <c r="C686" s="17" t="n"/>
      <c r="D686" s="18" t="n"/>
      <c r="E686" s="18" t="n"/>
      <c r="F686" s="17" t="n"/>
      <c r="G686" s="19" t="n"/>
      <c r="H686" s="20">
        <f>IF($A686="","",MONTH($A686)&amp;"/"&amp;YEAR($A686))</f>
        <v/>
      </c>
      <c r="I686" s="21">
        <f>IF($A686="",0,YEAR($A686)*12+MONTH($A686))</f>
        <v/>
      </c>
    </row>
    <row r="687">
      <c r="A687" s="16" t="n"/>
      <c r="B687" s="17" t="n"/>
      <c r="C687" s="17" t="n"/>
      <c r="D687" s="18" t="n"/>
      <c r="E687" s="18" t="n"/>
      <c r="F687" s="17" t="n"/>
      <c r="G687" s="19" t="n"/>
      <c r="H687" s="20">
        <f>IF($A687="","",MONTH($A687)&amp;"/"&amp;YEAR($A687))</f>
        <v/>
      </c>
      <c r="I687" s="21">
        <f>IF($A687="",0,YEAR($A687)*12+MONTH($A687))</f>
        <v/>
      </c>
    </row>
    <row r="688">
      <c r="A688" s="16" t="n"/>
      <c r="B688" s="17" t="n"/>
      <c r="C688" s="17" t="n"/>
      <c r="D688" s="18" t="n"/>
      <c r="E688" s="18" t="n"/>
      <c r="F688" s="17" t="n"/>
      <c r="G688" s="19" t="n"/>
      <c r="H688" s="20">
        <f>IF($A688="","",MONTH($A688)&amp;"/"&amp;YEAR($A688))</f>
        <v/>
      </c>
      <c r="I688" s="21">
        <f>IF($A688="",0,YEAR($A688)*12+MONTH($A688))</f>
        <v/>
      </c>
    </row>
    <row r="689">
      <c r="A689" s="16" t="n"/>
      <c r="B689" s="17" t="n"/>
      <c r="C689" s="17" t="n"/>
      <c r="D689" s="18" t="n"/>
      <c r="E689" s="18" t="n"/>
      <c r="F689" s="17" t="n"/>
      <c r="G689" s="19" t="n"/>
      <c r="H689" s="20">
        <f>IF($A689="","",MONTH($A689)&amp;"/"&amp;YEAR($A689))</f>
        <v/>
      </c>
      <c r="I689" s="21">
        <f>IF($A689="",0,YEAR($A689)*12+MONTH($A689))</f>
        <v/>
      </c>
    </row>
    <row r="690">
      <c r="A690" s="16" t="n"/>
      <c r="B690" s="17" t="n"/>
      <c r="C690" s="17" t="n"/>
      <c r="D690" s="18" t="n"/>
      <c r="E690" s="18" t="n"/>
      <c r="F690" s="17" t="n"/>
      <c r="G690" s="19" t="n"/>
      <c r="H690" s="20">
        <f>IF($A690="","",MONTH($A690)&amp;"/"&amp;YEAR($A690))</f>
        <v/>
      </c>
      <c r="I690" s="21">
        <f>IF($A690="",0,YEAR($A690)*12+MONTH($A690))</f>
        <v/>
      </c>
    </row>
    <row r="691">
      <c r="A691" s="16" t="n"/>
      <c r="B691" s="17" t="n"/>
      <c r="C691" s="17" t="n"/>
      <c r="D691" s="18" t="n"/>
      <c r="E691" s="18" t="n"/>
      <c r="F691" s="17" t="n"/>
      <c r="G691" s="19" t="n"/>
      <c r="H691" s="20">
        <f>IF($A691="","",MONTH($A691)&amp;"/"&amp;YEAR($A691))</f>
        <v/>
      </c>
      <c r="I691" s="21">
        <f>IF($A691="",0,YEAR($A691)*12+MONTH($A691))</f>
        <v/>
      </c>
    </row>
    <row r="692">
      <c r="A692" s="16" t="n"/>
      <c r="B692" s="17" t="n"/>
      <c r="C692" s="17" t="n"/>
      <c r="D692" s="18" t="n"/>
      <c r="E692" s="18" t="n"/>
      <c r="F692" s="17" t="n"/>
      <c r="G692" s="19" t="n"/>
      <c r="H692" s="20">
        <f>IF($A692="","",MONTH($A692)&amp;"/"&amp;YEAR($A692))</f>
        <v/>
      </c>
      <c r="I692" s="21">
        <f>IF($A692="",0,YEAR($A692)*12+MONTH($A692))</f>
        <v/>
      </c>
    </row>
    <row r="693">
      <c r="A693" s="16" t="n"/>
      <c r="B693" s="17" t="n"/>
      <c r="C693" s="17" t="n"/>
      <c r="D693" s="18" t="n"/>
      <c r="E693" s="18" t="n"/>
      <c r="F693" s="17" t="n"/>
      <c r="G693" s="19" t="n"/>
      <c r="H693" s="20">
        <f>IF($A693="","",MONTH($A693)&amp;"/"&amp;YEAR($A693))</f>
        <v/>
      </c>
      <c r="I693" s="21">
        <f>IF($A693="",0,YEAR($A693)*12+MONTH($A693))</f>
        <v/>
      </c>
    </row>
    <row r="694">
      <c r="A694" s="16" t="n"/>
      <c r="B694" s="17" t="n"/>
      <c r="C694" s="17" t="n"/>
      <c r="D694" s="18" t="n"/>
      <c r="E694" s="18" t="n"/>
      <c r="F694" s="17" t="n"/>
      <c r="G694" s="19" t="n"/>
      <c r="H694" s="20">
        <f>IF($A694="","",MONTH($A694)&amp;"/"&amp;YEAR($A694))</f>
        <v/>
      </c>
      <c r="I694" s="21">
        <f>IF($A694="",0,YEAR($A694)*12+MONTH($A694))</f>
        <v/>
      </c>
    </row>
    <row r="695">
      <c r="A695" s="16" t="n"/>
      <c r="B695" s="17" t="n"/>
      <c r="C695" s="17" t="n"/>
      <c r="D695" s="18" t="n"/>
      <c r="E695" s="18" t="n"/>
      <c r="F695" s="17" t="n"/>
      <c r="G695" s="19" t="n"/>
      <c r="H695" s="20">
        <f>IF($A695="","",MONTH($A695)&amp;"/"&amp;YEAR($A695))</f>
        <v/>
      </c>
      <c r="I695" s="21">
        <f>IF($A695="",0,YEAR($A695)*12+MONTH($A695))</f>
        <v/>
      </c>
    </row>
    <row r="696">
      <c r="A696" s="16" t="n"/>
      <c r="B696" s="17" t="n"/>
      <c r="C696" s="17" t="n"/>
      <c r="D696" s="18" t="n"/>
      <c r="E696" s="18" t="n"/>
      <c r="F696" s="17" t="n"/>
      <c r="G696" s="19" t="n"/>
      <c r="H696" s="20">
        <f>IF($A696="","",MONTH($A696)&amp;"/"&amp;YEAR($A696))</f>
        <v/>
      </c>
      <c r="I696" s="21">
        <f>IF($A696="",0,YEAR($A696)*12+MONTH($A696))</f>
        <v/>
      </c>
    </row>
    <row r="697">
      <c r="A697" s="16" t="n"/>
      <c r="B697" s="17" t="n"/>
      <c r="C697" s="17" t="n"/>
      <c r="D697" s="18" t="n"/>
      <c r="E697" s="18" t="n"/>
      <c r="F697" s="17" t="n"/>
      <c r="G697" s="19" t="n"/>
      <c r="H697" s="20">
        <f>IF($A697="","",MONTH($A697)&amp;"/"&amp;YEAR($A697))</f>
        <v/>
      </c>
      <c r="I697" s="21">
        <f>IF($A697="",0,YEAR($A697)*12+MONTH($A697))</f>
        <v/>
      </c>
    </row>
    <row r="698">
      <c r="A698" s="16" t="n"/>
      <c r="B698" s="17" t="n"/>
      <c r="C698" s="17" t="n"/>
      <c r="D698" s="18" t="n"/>
      <c r="E698" s="18" t="n"/>
      <c r="F698" s="17" t="n"/>
      <c r="G698" s="19" t="n"/>
      <c r="H698" s="20">
        <f>IF($A698="","",MONTH($A698)&amp;"/"&amp;YEAR($A698))</f>
        <v/>
      </c>
      <c r="I698" s="21">
        <f>IF($A698="",0,YEAR($A698)*12+MONTH($A698))</f>
        <v/>
      </c>
    </row>
    <row r="699">
      <c r="A699" s="16" t="n"/>
      <c r="B699" s="17" t="n"/>
      <c r="C699" s="17" t="n"/>
      <c r="D699" s="18" t="n"/>
      <c r="E699" s="18" t="n"/>
      <c r="F699" s="17" t="n"/>
      <c r="G699" s="19" t="n"/>
      <c r="H699" s="20">
        <f>IF($A699="","",MONTH($A699)&amp;"/"&amp;YEAR($A699))</f>
        <v/>
      </c>
      <c r="I699" s="21">
        <f>IF($A699="",0,YEAR($A699)*12+MONTH($A699))</f>
        <v/>
      </c>
    </row>
    <row r="700">
      <c r="A700" s="16" t="n"/>
      <c r="B700" s="17" t="n"/>
      <c r="C700" s="17" t="n"/>
      <c r="D700" s="18" t="n"/>
      <c r="E700" s="18" t="n"/>
      <c r="F700" s="17" t="n"/>
      <c r="G700" s="19" t="n"/>
      <c r="H700" s="20">
        <f>IF($A700="","",MONTH($A700)&amp;"/"&amp;YEAR($A700))</f>
        <v/>
      </c>
      <c r="I700" s="21">
        <f>IF($A700="",0,YEAR($A700)*12+MONTH($A700))</f>
        <v/>
      </c>
    </row>
    <row r="701">
      <c r="A701" s="16" t="n"/>
      <c r="B701" s="17" t="n"/>
      <c r="C701" s="17" t="n"/>
      <c r="D701" s="18" t="n"/>
      <c r="E701" s="18" t="n"/>
      <c r="F701" s="17" t="n"/>
      <c r="G701" s="19" t="n"/>
      <c r="H701" s="20">
        <f>IF($A701="","",MONTH($A701)&amp;"/"&amp;YEAR($A701))</f>
        <v/>
      </c>
      <c r="I701" s="21">
        <f>IF($A701="",0,YEAR($A701)*12+MONTH($A701))</f>
        <v/>
      </c>
    </row>
    <row r="702">
      <c r="A702" s="16" t="n"/>
      <c r="B702" s="17" t="n"/>
      <c r="C702" s="17" t="n"/>
      <c r="D702" s="18" t="n"/>
      <c r="E702" s="18" t="n"/>
      <c r="F702" s="17" t="n"/>
      <c r="G702" s="19" t="n"/>
      <c r="H702" s="20">
        <f>IF($A702="","",MONTH($A702)&amp;"/"&amp;YEAR($A702))</f>
        <v/>
      </c>
      <c r="I702" s="21">
        <f>IF($A702="",0,YEAR($A702)*12+MONTH($A702))</f>
        <v/>
      </c>
    </row>
    <row r="703">
      <c r="A703" s="16" t="n"/>
      <c r="B703" s="17" t="n"/>
      <c r="C703" s="17" t="n"/>
      <c r="D703" s="18" t="n"/>
      <c r="E703" s="18" t="n"/>
      <c r="F703" s="17" t="n"/>
      <c r="G703" s="19" t="n"/>
      <c r="H703" s="20">
        <f>IF($A703="","",MONTH($A703)&amp;"/"&amp;YEAR($A703))</f>
        <v/>
      </c>
      <c r="I703" s="21">
        <f>IF($A703="",0,YEAR($A703)*12+MONTH($A703))</f>
        <v/>
      </c>
    </row>
    <row r="704">
      <c r="A704" s="16" t="n"/>
      <c r="B704" s="17" t="n"/>
      <c r="C704" s="17" t="n"/>
      <c r="D704" s="18" t="n"/>
      <c r="E704" s="18" t="n"/>
      <c r="F704" s="17" t="n"/>
      <c r="G704" s="19" t="n"/>
      <c r="H704" s="20">
        <f>IF($A704="","",MONTH($A704)&amp;"/"&amp;YEAR($A704))</f>
        <v/>
      </c>
      <c r="I704" s="21">
        <f>IF($A704="",0,YEAR($A704)*12+MONTH($A704))</f>
        <v/>
      </c>
    </row>
    <row r="705">
      <c r="A705" s="16" t="n"/>
      <c r="B705" s="17" t="n"/>
      <c r="C705" s="17" t="n"/>
      <c r="D705" s="18" t="n"/>
      <c r="E705" s="18" t="n"/>
      <c r="F705" s="17" t="n"/>
      <c r="G705" s="19" t="n"/>
      <c r="H705" s="20">
        <f>IF($A705="","",MONTH($A705)&amp;"/"&amp;YEAR($A705))</f>
        <v/>
      </c>
      <c r="I705" s="21">
        <f>IF($A705="",0,YEAR($A705)*12+MONTH($A705))</f>
        <v/>
      </c>
    </row>
    <row r="706">
      <c r="A706" s="16" t="n"/>
      <c r="B706" s="17" t="n"/>
      <c r="C706" s="17" t="n"/>
      <c r="D706" s="18" t="n"/>
      <c r="E706" s="18" t="n"/>
      <c r="F706" s="17" t="n"/>
      <c r="G706" s="19" t="n"/>
      <c r="H706" s="20">
        <f>IF($A706="","",MONTH($A706)&amp;"/"&amp;YEAR($A706))</f>
        <v/>
      </c>
      <c r="I706" s="21">
        <f>IF($A706="",0,YEAR($A706)*12+MONTH($A706))</f>
        <v/>
      </c>
    </row>
    <row r="707">
      <c r="A707" s="16" t="n"/>
      <c r="B707" s="17" t="n"/>
      <c r="C707" s="17" t="n"/>
      <c r="D707" s="18" t="n"/>
      <c r="E707" s="18" t="n"/>
      <c r="F707" s="17" t="n"/>
      <c r="G707" s="19" t="n"/>
      <c r="H707" s="20">
        <f>IF($A707="","",MONTH($A707)&amp;"/"&amp;YEAR($A707))</f>
        <v/>
      </c>
      <c r="I707" s="21">
        <f>IF($A707="",0,YEAR($A707)*12+MONTH($A707))</f>
        <v/>
      </c>
    </row>
    <row r="708">
      <c r="A708" s="16" t="n"/>
      <c r="B708" s="17" t="n"/>
      <c r="C708" s="17" t="n"/>
      <c r="D708" s="18" t="n"/>
      <c r="E708" s="18" t="n"/>
      <c r="F708" s="17" t="n"/>
      <c r="G708" s="19" t="n"/>
      <c r="H708" s="20">
        <f>IF($A708="","",MONTH($A708)&amp;"/"&amp;YEAR($A708))</f>
        <v/>
      </c>
      <c r="I708" s="21">
        <f>IF($A708="",0,YEAR($A708)*12+MONTH($A708))</f>
        <v/>
      </c>
    </row>
    <row r="709">
      <c r="A709" s="16" t="n"/>
      <c r="B709" s="17" t="n"/>
      <c r="C709" s="17" t="n"/>
      <c r="D709" s="18" t="n"/>
      <c r="E709" s="18" t="n"/>
      <c r="F709" s="17" t="n"/>
      <c r="G709" s="19" t="n"/>
      <c r="H709" s="20">
        <f>IF($A709="","",MONTH($A709)&amp;"/"&amp;YEAR($A709))</f>
        <v/>
      </c>
      <c r="I709" s="21">
        <f>IF($A709="",0,YEAR($A709)*12+MONTH($A709))</f>
        <v/>
      </c>
    </row>
    <row r="710">
      <c r="A710" s="16" t="n"/>
      <c r="B710" s="17" t="n"/>
      <c r="C710" s="17" t="n"/>
      <c r="D710" s="18" t="n"/>
      <c r="E710" s="18" t="n"/>
      <c r="F710" s="17" t="n"/>
      <c r="G710" s="19" t="n"/>
      <c r="H710" s="20">
        <f>IF($A710="","",MONTH($A710)&amp;"/"&amp;YEAR($A710))</f>
        <v/>
      </c>
      <c r="I710" s="21">
        <f>IF($A710="",0,YEAR($A710)*12+MONTH($A710))</f>
        <v/>
      </c>
    </row>
    <row r="711">
      <c r="A711" s="16" t="n"/>
      <c r="B711" s="17" t="n"/>
      <c r="C711" s="17" t="n"/>
      <c r="D711" s="18" t="n"/>
      <c r="E711" s="18" t="n"/>
      <c r="F711" s="17" t="n"/>
      <c r="G711" s="19" t="n"/>
      <c r="H711" s="20">
        <f>IF($A711="","",MONTH($A711)&amp;"/"&amp;YEAR($A711))</f>
        <v/>
      </c>
      <c r="I711" s="21">
        <f>IF($A711="",0,YEAR($A711)*12+MONTH($A711))</f>
        <v/>
      </c>
    </row>
    <row r="712">
      <c r="A712" s="16" t="n"/>
      <c r="B712" s="17" t="n"/>
      <c r="C712" s="17" t="n"/>
      <c r="D712" s="18" t="n"/>
      <c r="E712" s="18" t="n"/>
      <c r="F712" s="17" t="n"/>
      <c r="G712" s="19" t="n"/>
      <c r="H712" s="20">
        <f>IF($A712="","",MONTH($A712)&amp;"/"&amp;YEAR($A712))</f>
        <v/>
      </c>
      <c r="I712" s="21">
        <f>IF($A712="",0,YEAR($A712)*12+MONTH($A712))</f>
        <v/>
      </c>
    </row>
    <row r="713">
      <c r="A713" s="16" t="n"/>
      <c r="B713" s="17" t="n"/>
      <c r="C713" s="17" t="n"/>
      <c r="D713" s="18" t="n"/>
      <c r="E713" s="18" t="n"/>
      <c r="F713" s="17" t="n"/>
      <c r="G713" s="19" t="n"/>
      <c r="H713" s="20">
        <f>IF($A713="","",MONTH($A713)&amp;"/"&amp;YEAR($A713))</f>
        <v/>
      </c>
      <c r="I713" s="21">
        <f>IF($A713="",0,YEAR($A713)*12+MONTH($A713))</f>
        <v/>
      </c>
    </row>
    <row r="714">
      <c r="A714" s="16" t="n"/>
      <c r="B714" s="17" t="n"/>
      <c r="C714" s="17" t="n"/>
      <c r="D714" s="18" t="n"/>
      <c r="E714" s="18" t="n"/>
      <c r="F714" s="17" t="n"/>
      <c r="G714" s="19" t="n"/>
      <c r="H714" s="20">
        <f>IF($A714="","",MONTH($A714)&amp;"/"&amp;YEAR($A714))</f>
        <v/>
      </c>
      <c r="I714" s="21">
        <f>IF($A714="",0,YEAR($A714)*12+MONTH($A714))</f>
        <v/>
      </c>
    </row>
    <row r="715">
      <c r="A715" s="16" t="n"/>
      <c r="B715" s="17" t="n"/>
      <c r="C715" s="17" t="n"/>
      <c r="D715" s="18" t="n"/>
      <c r="E715" s="18" t="n"/>
      <c r="F715" s="17" t="n"/>
      <c r="G715" s="19" t="n"/>
      <c r="H715" s="20">
        <f>IF($A715="","",MONTH($A715)&amp;"/"&amp;YEAR($A715))</f>
        <v/>
      </c>
      <c r="I715" s="21">
        <f>IF($A715="",0,YEAR($A715)*12+MONTH($A715))</f>
        <v/>
      </c>
    </row>
    <row r="716">
      <c r="A716" s="16" t="n"/>
      <c r="B716" s="17" t="n"/>
      <c r="C716" s="17" t="n"/>
      <c r="D716" s="18" t="n"/>
      <c r="E716" s="18" t="n"/>
      <c r="F716" s="17" t="n"/>
      <c r="G716" s="19" t="n"/>
      <c r="H716" s="20">
        <f>IF($A716="","",MONTH($A716)&amp;"/"&amp;YEAR($A716))</f>
        <v/>
      </c>
      <c r="I716" s="21">
        <f>IF($A716="",0,YEAR($A716)*12+MONTH($A716))</f>
        <v/>
      </c>
    </row>
    <row r="717">
      <c r="A717" s="16" t="n"/>
      <c r="B717" s="17" t="n"/>
      <c r="C717" s="17" t="n"/>
      <c r="D717" s="18" t="n"/>
      <c r="E717" s="18" t="n"/>
      <c r="F717" s="17" t="n"/>
      <c r="G717" s="19" t="n"/>
      <c r="H717" s="20">
        <f>IF($A717="","",MONTH($A717)&amp;"/"&amp;YEAR($A717))</f>
        <v/>
      </c>
      <c r="I717" s="21">
        <f>IF($A717="",0,YEAR($A717)*12+MONTH($A717))</f>
        <v/>
      </c>
    </row>
    <row r="718">
      <c r="A718" s="16" t="n"/>
      <c r="B718" s="17" t="n"/>
      <c r="C718" s="17" t="n"/>
      <c r="D718" s="18" t="n"/>
      <c r="E718" s="18" t="n"/>
      <c r="F718" s="17" t="n"/>
      <c r="G718" s="19" t="n"/>
      <c r="H718" s="20">
        <f>IF($A718="","",MONTH($A718)&amp;"/"&amp;YEAR($A718))</f>
        <v/>
      </c>
      <c r="I718" s="21">
        <f>IF($A718="",0,YEAR($A718)*12+MONTH($A718))</f>
        <v/>
      </c>
    </row>
    <row r="719">
      <c r="A719" s="16" t="n"/>
      <c r="B719" s="17" t="n"/>
      <c r="C719" s="17" t="n"/>
      <c r="D719" s="18" t="n"/>
      <c r="E719" s="18" t="n"/>
      <c r="F719" s="17" t="n"/>
      <c r="G719" s="19" t="n"/>
      <c r="H719" s="20">
        <f>IF($A719="","",MONTH($A719)&amp;"/"&amp;YEAR($A719))</f>
        <v/>
      </c>
      <c r="I719" s="21">
        <f>IF($A719="",0,YEAR($A719)*12+MONTH($A719))</f>
        <v/>
      </c>
    </row>
    <row r="720">
      <c r="A720" s="16" t="n"/>
      <c r="B720" s="17" t="n"/>
      <c r="C720" s="17" t="n"/>
      <c r="D720" s="18" t="n"/>
      <c r="E720" s="18" t="n"/>
      <c r="F720" s="17" t="n"/>
      <c r="G720" s="19" t="n"/>
      <c r="H720" s="20">
        <f>IF($A720="","",MONTH($A720)&amp;"/"&amp;YEAR($A720))</f>
        <v/>
      </c>
      <c r="I720" s="21">
        <f>IF($A720="",0,YEAR($A720)*12+MONTH($A720))</f>
        <v/>
      </c>
    </row>
    <row r="721">
      <c r="A721" s="16" t="n"/>
      <c r="B721" s="17" t="n"/>
      <c r="C721" s="17" t="n"/>
      <c r="D721" s="18" t="n"/>
      <c r="E721" s="18" t="n"/>
      <c r="F721" s="17" t="n"/>
      <c r="G721" s="19" t="n"/>
      <c r="H721" s="20">
        <f>IF($A721="","",MONTH($A721)&amp;"/"&amp;YEAR($A721))</f>
        <v/>
      </c>
      <c r="I721" s="21">
        <f>IF($A721="",0,YEAR($A721)*12+MONTH($A721))</f>
        <v/>
      </c>
    </row>
    <row r="722">
      <c r="A722" s="16" t="n"/>
      <c r="B722" s="17" t="n"/>
      <c r="C722" s="17" t="n"/>
      <c r="D722" s="18" t="n"/>
      <c r="E722" s="18" t="n"/>
      <c r="F722" s="17" t="n"/>
      <c r="G722" s="19" t="n"/>
      <c r="H722" s="20">
        <f>IF($A722="","",MONTH($A722)&amp;"/"&amp;YEAR($A722))</f>
        <v/>
      </c>
      <c r="I722" s="21">
        <f>IF($A722="",0,YEAR($A722)*12+MONTH($A722))</f>
        <v/>
      </c>
    </row>
    <row r="723">
      <c r="A723" s="16" t="n"/>
      <c r="B723" s="17" t="n"/>
      <c r="C723" s="17" t="n"/>
      <c r="D723" s="18" t="n"/>
      <c r="E723" s="18" t="n"/>
      <c r="F723" s="17" t="n"/>
      <c r="G723" s="19" t="n"/>
      <c r="H723" s="20">
        <f>IF($A723="","",MONTH($A723)&amp;"/"&amp;YEAR($A723))</f>
        <v/>
      </c>
      <c r="I723" s="21">
        <f>IF($A723="",0,YEAR($A723)*12+MONTH($A723))</f>
        <v/>
      </c>
    </row>
    <row r="724">
      <c r="A724" s="16" t="n"/>
      <c r="B724" s="17" t="n"/>
      <c r="C724" s="17" t="n"/>
      <c r="D724" s="18" t="n"/>
      <c r="E724" s="18" t="n"/>
      <c r="F724" s="17" t="n"/>
      <c r="G724" s="19" t="n"/>
      <c r="H724" s="20">
        <f>IF($A724="","",MONTH($A724)&amp;"/"&amp;YEAR($A724))</f>
        <v/>
      </c>
      <c r="I724" s="21">
        <f>IF($A724="",0,YEAR($A724)*12+MONTH($A724))</f>
        <v/>
      </c>
    </row>
    <row r="725">
      <c r="A725" s="16" t="n"/>
      <c r="B725" s="17" t="n"/>
      <c r="C725" s="17" t="n"/>
      <c r="D725" s="18" t="n"/>
      <c r="E725" s="18" t="n"/>
      <c r="F725" s="17" t="n"/>
      <c r="G725" s="19" t="n"/>
      <c r="H725" s="20">
        <f>IF($A725="","",MONTH($A725)&amp;"/"&amp;YEAR($A725))</f>
        <v/>
      </c>
      <c r="I725" s="21">
        <f>IF($A725="",0,YEAR($A725)*12+MONTH($A725))</f>
        <v/>
      </c>
    </row>
    <row r="726">
      <c r="A726" s="16" t="n"/>
      <c r="B726" s="17" t="n"/>
      <c r="C726" s="17" t="n"/>
      <c r="D726" s="18" t="n"/>
      <c r="E726" s="18" t="n"/>
      <c r="F726" s="17" t="n"/>
      <c r="G726" s="19" t="n"/>
      <c r="H726" s="20">
        <f>IF($A726="","",MONTH($A726)&amp;"/"&amp;YEAR($A726))</f>
        <v/>
      </c>
      <c r="I726" s="21">
        <f>IF($A726="",0,YEAR($A726)*12+MONTH($A726))</f>
        <v/>
      </c>
    </row>
    <row r="727">
      <c r="A727" s="16" t="n"/>
      <c r="B727" s="17" t="n"/>
      <c r="C727" s="17" t="n"/>
      <c r="D727" s="18" t="n"/>
      <c r="E727" s="18" t="n"/>
      <c r="F727" s="17" t="n"/>
      <c r="G727" s="19" t="n"/>
      <c r="H727" s="20">
        <f>IF($A727="","",MONTH($A727)&amp;"/"&amp;YEAR($A727))</f>
        <v/>
      </c>
      <c r="I727" s="21">
        <f>IF($A727="",0,YEAR($A727)*12+MONTH($A727))</f>
        <v/>
      </c>
    </row>
    <row r="728">
      <c r="A728" s="16" t="n"/>
      <c r="B728" s="17" t="n"/>
      <c r="C728" s="17" t="n"/>
      <c r="D728" s="18" t="n"/>
      <c r="E728" s="18" t="n"/>
      <c r="F728" s="17" t="n"/>
      <c r="G728" s="19" t="n"/>
      <c r="H728" s="20">
        <f>IF($A728="","",MONTH($A728)&amp;"/"&amp;YEAR($A728))</f>
        <v/>
      </c>
      <c r="I728" s="21">
        <f>IF($A728="",0,YEAR($A728)*12+MONTH($A728))</f>
        <v/>
      </c>
    </row>
    <row r="729">
      <c r="A729" s="16" t="n"/>
      <c r="B729" s="17" t="n"/>
      <c r="C729" s="17" t="n"/>
      <c r="D729" s="18" t="n"/>
      <c r="E729" s="18" t="n"/>
      <c r="F729" s="17" t="n"/>
      <c r="G729" s="19" t="n"/>
      <c r="H729" s="20">
        <f>IF($A729="","",MONTH($A729)&amp;"/"&amp;YEAR($A729))</f>
        <v/>
      </c>
      <c r="I729" s="21">
        <f>IF($A729="",0,YEAR($A729)*12+MONTH($A729))</f>
        <v/>
      </c>
    </row>
    <row r="730">
      <c r="A730" s="16" t="n"/>
      <c r="B730" s="17" t="n"/>
      <c r="C730" s="17" t="n"/>
      <c r="D730" s="18" t="n"/>
      <c r="E730" s="18" t="n"/>
      <c r="F730" s="17" t="n"/>
      <c r="G730" s="19" t="n"/>
      <c r="H730" s="20">
        <f>IF($A730="","",MONTH($A730)&amp;"/"&amp;YEAR($A730))</f>
        <v/>
      </c>
      <c r="I730" s="21">
        <f>IF($A730="",0,YEAR($A730)*12+MONTH($A730))</f>
        <v/>
      </c>
    </row>
    <row r="731">
      <c r="A731" s="16" t="n"/>
      <c r="B731" s="17" t="n"/>
      <c r="C731" s="17" t="n"/>
      <c r="D731" s="18" t="n"/>
      <c r="E731" s="18" t="n"/>
      <c r="F731" s="17" t="n"/>
      <c r="G731" s="19" t="n"/>
      <c r="H731" s="20">
        <f>IF($A731="","",MONTH($A731)&amp;"/"&amp;YEAR($A731))</f>
        <v/>
      </c>
      <c r="I731" s="21">
        <f>IF($A731="",0,YEAR($A731)*12+MONTH($A731))</f>
        <v/>
      </c>
    </row>
    <row r="732">
      <c r="A732" s="16" t="n"/>
      <c r="B732" s="17" t="n"/>
      <c r="C732" s="17" t="n"/>
      <c r="D732" s="18" t="n"/>
      <c r="E732" s="18" t="n"/>
      <c r="F732" s="17" t="n"/>
      <c r="G732" s="19" t="n"/>
      <c r="H732" s="20">
        <f>IF($A732="","",MONTH($A732)&amp;"/"&amp;YEAR($A732))</f>
        <v/>
      </c>
      <c r="I732" s="21">
        <f>IF($A732="",0,YEAR($A732)*12+MONTH($A732))</f>
        <v/>
      </c>
    </row>
    <row r="733">
      <c r="A733" s="16" t="n"/>
      <c r="B733" s="17" t="n"/>
      <c r="C733" s="17" t="n"/>
      <c r="D733" s="18" t="n"/>
      <c r="E733" s="18" t="n"/>
      <c r="F733" s="17" t="n"/>
      <c r="G733" s="19" t="n"/>
      <c r="H733" s="20">
        <f>IF($A733="","",MONTH($A733)&amp;"/"&amp;YEAR($A733))</f>
        <v/>
      </c>
      <c r="I733" s="21">
        <f>IF($A733="",0,YEAR($A733)*12+MONTH($A733))</f>
        <v/>
      </c>
    </row>
    <row r="734">
      <c r="A734" s="16" t="n"/>
      <c r="B734" s="17" t="n"/>
      <c r="C734" s="17" t="n"/>
      <c r="D734" s="18" t="n"/>
      <c r="E734" s="18" t="n"/>
      <c r="F734" s="17" t="n"/>
      <c r="G734" s="19" t="n"/>
      <c r="H734" s="20">
        <f>IF($A734="","",MONTH($A734)&amp;"/"&amp;YEAR($A734))</f>
        <v/>
      </c>
      <c r="I734" s="21">
        <f>IF($A734="",0,YEAR($A734)*12+MONTH($A734))</f>
        <v/>
      </c>
    </row>
    <row r="735">
      <c r="A735" s="16" t="n"/>
      <c r="B735" s="17" t="n"/>
      <c r="C735" s="17" t="n"/>
      <c r="D735" s="18" t="n"/>
      <c r="E735" s="18" t="n"/>
      <c r="F735" s="17" t="n"/>
      <c r="G735" s="19" t="n"/>
      <c r="H735" s="20">
        <f>IF($A735="","",MONTH($A735)&amp;"/"&amp;YEAR($A735))</f>
        <v/>
      </c>
      <c r="I735" s="21">
        <f>IF($A735="",0,YEAR($A735)*12+MONTH($A735))</f>
        <v/>
      </c>
    </row>
    <row r="736">
      <c r="A736" s="16" t="n"/>
      <c r="B736" s="17" t="n"/>
      <c r="C736" s="17" t="n"/>
      <c r="D736" s="18" t="n"/>
      <c r="E736" s="18" t="n"/>
      <c r="F736" s="17" t="n"/>
      <c r="G736" s="19" t="n"/>
      <c r="H736" s="20">
        <f>IF($A736="","",MONTH($A736)&amp;"/"&amp;YEAR($A736))</f>
        <v/>
      </c>
      <c r="I736" s="21">
        <f>IF($A736="",0,YEAR($A736)*12+MONTH($A736))</f>
        <v/>
      </c>
    </row>
    <row r="737">
      <c r="A737" s="16" t="n"/>
      <c r="B737" s="17" t="n"/>
      <c r="C737" s="17" t="n"/>
      <c r="D737" s="18" t="n"/>
      <c r="E737" s="18" t="n"/>
      <c r="F737" s="17" t="n"/>
      <c r="G737" s="19" t="n"/>
      <c r="H737" s="20">
        <f>IF($A737="","",MONTH($A737)&amp;"/"&amp;YEAR($A737))</f>
        <v/>
      </c>
      <c r="I737" s="21">
        <f>IF($A737="",0,YEAR($A737)*12+MONTH($A737))</f>
        <v/>
      </c>
    </row>
    <row r="738">
      <c r="A738" s="16" t="n"/>
      <c r="B738" s="17" t="n"/>
      <c r="C738" s="17" t="n"/>
      <c r="D738" s="18" t="n"/>
      <c r="E738" s="18" t="n"/>
      <c r="F738" s="17" t="n"/>
      <c r="G738" s="19" t="n"/>
      <c r="H738" s="20">
        <f>IF($A738="","",MONTH($A738)&amp;"/"&amp;YEAR($A738))</f>
        <v/>
      </c>
      <c r="I738" s="21">
        <f>IF($A738="",0,YEAR($A738)*12+MONTH($A738))</f>
        <v/>
      </c>
    </row>
    <row r="739">
      <c r="A739" s="16" t="n"/>
      <c r="B739" s="17" t="n"/>
      <c r="C739" s="17" t="n"/>
      <c r="D739" s="18" t="n"/>
      <c r="E739" s="18" t="n"/>
      <c r="F739" s="17" t="n"/>
      <c r="G739" s="19" t="n"/>
      <c r="H739" s="20">
        <f>IF($A739="","",MONTH($A739)&amp;"/"&amp;YEAR($A739))</f>
        <v/>
      </c>
      <c r="I739" s="21">
        <f>IF($A739="",0,YEAR($A739)*12+MONTH($A739))</f>
        <v/>
      </c>
    </row>
    <row r="740">
      <c r="A740" s="16" t="n"/>
      <c r="B740" s="17" t="n"/>
      <c r="C740" s="17" t="n"/>
      <c r="D740" s="18" t="n"/>
      <c r="E740" s="18" t="n"/>
      <c r="F740" s="17" t="n"/>
      <c r="G740" s="19" t="n"/>
      <c r="H740" s="20">
        <f>IF($A740="","",MONTH($A740)&amp;"/"&amp;YEAR($A740))</f>
        <v/>
      </c>
      <c r="I740" s="21">
        <f>IF($A740="",0,YEAR($A740)*12+MONTH($A740))</f>
        <v/>
      </c>
    </row>
    <row r="741">
      <c r="A741" s="16" t="n"/>
      <c r="B741" s="17" t="n"/>
      <c r="C741" s="17" t="n"/>
      <c r="D741" s="18" t="n"/>
      <c r="E741" s="18" t="n"/>
      <c r="F741" s="17" t="n"/>
      <c r="G741" s="19" t="n"/>
      <c r="H741" s="20">
        <f>IF($A741="","",MONTH($A741)&amp;"/"&amp;YEAR($A741))</f>
        <v/>
      </c>
      <c r="I741" s="21">
        <f>IF($A741="",0,YEAR($A741)*12+MONTH($A741))</f>
        <v/>
      </c>
    </row>
    <row r="742">
      <c r="A742" s="16" t="n"/>
      <c r="B742" s="17" t="n"/>
      <c r="C742" s="17" t="n"/>
      <c r="D742" s="18" t="n"/>
      <c r="E742" s="18" t="n"/>
      <c r="F742" s="17" t="n"/>
      <c r="G742" s="19" t="n"/>
      <c r="H742" s="20">
        <f>IF($A742="","",MONTH($A742)&amp;"/"&amp;YEAR($A742))</f>
        <v/>
      </c>
      <c r="I742" s="21">
        <f>IF($A742="",0,YEAR($A742)*12+MONTH($A742))</f>
        <v/>
      </c>
    </row>
    <row r="743">
      <c r="A743" s="16" t="n"/>
      <c r="B743" s="17" t="n"/>
      <c r="C743" s="17" t="n"/>
      <c r="D743" s="18" t="n"/>
      <c r="E743" s="18" t="n"/>
      <c r="F743" s="17" t="n"/>
      <c r="G743" s="19" t="n"/>
      <c r="H743" s="20">
        <f>IF($A743="","",MONTH($A743)&amp;"/"&amp;YEAR($A743))</f>
        <v/>
      </c>
      <c r="I743" s="21">
        <f>IF($A743="",0,YEAR($A743)*12+MONTH($A743))</f>
        <v/>
      </c>
    </row>
    <row r="744">
      <c r="A744" s="16" t="n"/>
      <c r="B744" s="17" t="n"/>
      <c r="C744" s="17" t="n"/>
      <c r="D744" s="18" t="n"/>
      <c r="E744" s="18" t="n"/>
      <c r="F744" s="17" t="n"/>
      <c r="G744" s="19" t="n"/>
      <c r="H744" s="20">
        <f>IF($A744="","",MONTH($A744)&amp;"/"&amp;YEAR($A744))</f>
        <v/>
      </c>
      <c r="I744" s="21">
        <f>IF($A744="",0,YEAR($A744)*12+MONTH($A744))</f>
        <v/>
      </c>
    </row>
    <row r="745">
      <c r="A745" s="16" t="n"/>
      <c r="B745" s="17" t="n"/>
      <c r="C745" s="17" t="n"/>
      <c r="D745" s="18" t="n"/>
      <c r="E745" s="18" t="n"/>
      <c r="F745" s="17" t="n"/>
      <c r="G745" s="19" t="n"/>
      <c r="H745" s="20">
        <f>IF($A745="","",MONTH($A745)&amp;"/"&amp;YEAR($A745))</f>
        <v/>
      </c>
      <c r="I745" s="21">
        <f>IF($A745="",0,YEAR($A745)*12+MONTH($A745))</f>
        <v/>
      </c>
    </row>
    <row r="746">
      <c r="A746" s="16" t="n"/>
      <c r="B746" s="17" t="n"/>
      <c r="C746" s="17" t="n"/>
      <c r="D746" s="18" t="n"/>
      <c r="E746" s="18" t="n"/>
      <c r="F746" s="17" t="n"/>
      <c r="G746" s="19" t="n"/>
      <c r="H746" s="20">
        <f>IF($A746="","",MONTH($A746)&amp;"/"&amp;YEAR($A746))</f>
        <v/>
      </c>
      <c r="I746" s="21">
        <f>IF($A746="",0,YEAR($A746)*12+MONTH($A746))</f>
        <v/>
      </c>
    </row>
    <row r="747">
      <c r="A747" s="16" t="n"/>
      <c r="B747" s="17" t="n"/>
      <c r="C747" s="17" t="n"/>
      <c r="D747" s="18" t="n"/>
      <c r="E747" s="18" t="n"/>
      <c r="F747" s="17" t="n"/>
      <c r="G747" s="19" t="n"/>
      <c r="H747" s="20">
        <f>IF($A747="","",MONTH($A747)&amp;"/"&amp;YEAR($A747))</f>
        <v/>
      </c>
      <c r="I747" s="21">
        <f>IF($A747="",0,YEAR($A747)*12+MONTH($A747))</f>
        <v/>
      </c>
    </row>
    <row r="748">
      <c r="A748" s="16" t="n"/>
      <c r="B748" s="17" t="n"/>
      <c r="C748" s="17" t="n"/>
      <c r="D748" s="18" t="n"/>
      <c r="E748" s="18" t="n"/>
      <c r="F748" s="17" t="n"/>
      <c r="G748" s="19" t="n"/>
      <c r="H748" s="20">
        <f>IF($A748="","",MONTH($A748)&amp;"/"&amp;YEAR($A748))</f>
        <v/>
      </c>
      <c r="I748" s="21">
        <f>IF($A748="",0,YEAR($A748)*12+MONTH($A748))</f>
        <v/>
      </c>
    </row>
    <row r="749">
      <c r="A749" s="16" t="n"/>
      <c r="B749" s="17" t="n"/>
      <c r="C749" s="17" t="n"/>
      <c r="D749" s="18" t="n"/>
      <c r="E749" s="18" t="n"/>
      <c r="F749" s="17" t="n"/>
      <c r="G749" s="19" t="n"/>
      <c r="H749" s="20">
        <f>IF($A749="","",MONTH($A749)&amp;"/"&amp;YEAR($A749))</f>
        <v/>
      </c>
      <c r="I749" s="21">
        <f>IF($A749="",0,YEAR($A749)*12+MONTH($A749))</f>
        <v/>
      </c>
    </row>
    <row r="750">
      <c r="A750" s="16" t="n"/>
      <c r="B750" s="17" t="n"/>
      <c r="C750" s="17" t="n"/>
      <c r="D750" s="18" t="n"/>
      <c r="E750" s="18" t="n"/>
      <c r="F750" s="17" t="n"/>
      <c r="G750" s="19" t="n"/>
      <c r="H750" s="20">
        <f>IF($A750="","",MONTH($A750)&amp;"/"&amp;YEAR($A750))</f>
        <v/>
      </c>
      <c r="I750" s="21">
        <f>IF($A750="",0,YEAR($A750)*12+MONTH($A750))</f>
        <v/>
      </c>
    </row>
    <row r="751">
      <c r="A751" s="16" t="n"/>
      <c r="B751" s="17" t="n"/>
      <c r="C751" s="17" t="n"/>
      <c r="D751" s="18" t="n"/>
      <c r="E751" s="18" t="n"/>
      <c r="F751" s="17" t="n"/>
      <c r="G751" s="19" t="n"/>
      <c r="H751" s="20">
        <f>IF($A751="","",MONTH($A751)&amp;"/"&amp;YEAR($A751))</f>
        <v/>
      </c>
      <c r="I751" s="21">
        <f>IF($A751="",0,YEAR($A751)*12+MONTH($A751))</f>
        <v/>
      </c>
    </row>
    <row r="752">
      <c r="A752" s="16" t="n"/>
      <c r="B752" s="17" t="n"/>
      <c r="C752" s="17" t="n"/>
      <c r="D752" s="18" t="n"/>
      <c r="E752" s="18" t="n"/>
      <c r="F752" s="17" t="n"/>
      <c r="G752" s="19" t="n"/>
      <c r="H752" s="20">
        <f>IF($A752="","",MONTH($A752)&amp;"/"&amp;YEAR($A752))</f>
        <v/>
      </c>
      <c r="I752" s="21">
        <f>IF($A752="",0,YEAR($A752)*12+MONTH($A752))</f>
        <v/>
      </c>
    </row>
    <row r="753">
      <c r="A753" s="16" t="n"/>
      <c r="B753" s="17" t="n"/>
      <c r="C753" s="17" t="n"/>
      <c r="D753" s="18" t="n"/>
      <c r="E753" s="18" t="n"/>
      <c r="F753" s="17" t="n"/>
      <c r="G753" s="19" t="n"/>
      <c r="H753" s="20">
        <f>IF($A753="","",MONTH($A753)&amp;"/"&amp;YEAR($A753))</f>
        <v/>
      </c>
      <c r="I753" s="21">
        <f>IF($A753="",0,YEAR($A753)*12+MONTH($A753))</f>
        <v/>
      </c>
    </row>
    <row r="754">
      <c r="A754" s="16" t="n"/>
      <c r="B754" s="17" t="n"/>
      <c r="C754" s="17" t="n"/>
      <c r="D754" s="18" t="n"/>
      <c r="E754" s="18" t="n"/>
      <c r="F754" s="17" t="n"/>
      <c r="G754" s="19" t="n"/>
      <c r="H754" s="20">
        <f>IF($A754="","",MONTH($A754)&amp;"/"&amp;YEAR($A754))</f>
        <v/>
      </c>
      <c r="I754" s="21">
        <f>IF($A754="",0,YEAR($A754)*12+MONTH($A754))</f>
        <v/>
      </c>
    </row>
    <row r="755">
      <c r="A755" s="16" t="n"/>
      <c r="B755" s="17" t="n"/>
      <c r="C755" s="17" t="n"/>
      <c r="D755" s="18" t="n"/>
      <c r="E755" s="18" t="n"/>
      <c r="F755" s="17" t="n"/>
      <c r="G755" s="19" t="n"/>
      <c r="H755" s="20">
        <f>IF($A755="","",MONTH($A755)&amp;"/"&amp;YEAR($A755))</f>
        <v/>
      </c>
      <c r="I755" s="21">
        <f>IF($A755="",0,YEAR($A755)*12+MONTH($A755))</f>
        <v/>
      </c>
    </row>
    <row r="756">
      <c r="A756" s="16" t="n"/>
      <c r="B756" s="17" t="n"/>
      <c r="C756" s="17" t="n"/>
      <c r="D756" s="18" t="n"/>
      <c r="E756" s="18" t="n"/>
      <c r="F756" s="17" t="n"/>
      <c r="G756" s="19" t="n"/>
      <c r="H756" s="20">
        <f>IF($A756="","",MONTH($A756)&amp;"/"&amp;YEAR($A756))</f>
        <v/>
      </c>
      <c r="I756" s="21">
        <f>IF($A756="",0,YEAR($A756)*12+MONTH($A756))</f>
        <v/>
      </c>
    </row>
    <row r="757">
      <c r="A757" s="16" t="n"/>
      <c r="B757" s="17" t="n"/>
      <c r="C757" s="17" t="n"/>
      <c r="D757" s="18" t="n"/>
      <c r="E757" s="18" t="n"/>
      <c r="F757" s="17" t="n"/>
      <c r="G757" s="19" t="n"/>
      <c r="H757" s="20">
        <f>IF($A757="","",MONTH($A757)&amp;"/"&amp;YEAR($A757))</f>
        <v/>
      </c>
      <c r="I757" s="21">
        <f>IF($A757="",0,YEAR($A757)*12+MONTH($A757))</f>
        <v/>
      </c>
    </row>
    <row r="758">
      <c r="A758" s="16" t="n"/>
      <c r="B758" s="17" t="n"/>
      <c r="C758" s="17" t="n"/>
      <c r="D758" s="18" t="n"/>
      <c r="E758" s="18" t="n"/>
      <c r="F758" s="17" t="n"/>
      <c r="G758" s="19" t="n"/>
      <c r="H758" s="20">
        <f>IF($A758="","",MONTH($A758)&amp;"/"&amp;YEAR($A758))</f>
        <v/>
      </c>
      <c r="I758" s="21">
        <f>IF($A758="",0,YEAR($A758)*12+MONTH($A758))</f>
        <v/>
      </c>
    </row>
    <row r="759">
      <c r="A759" s="16" t="n"/>
      <c r="B759" s="17" t="n"/>
      <c r="C759" s="17" t="n"/>
      <c r="D759" s="18" t="n"/>
      <c r="E759" s="18" t="n"/>
      <c r="F759" s="17" t="n"/>
      <c r="G759" s="19" t="n"/>
      <c r="H759" s="20">
        <f>IF($A759="","",MONTH($A759)&amp;"/"&amp;YEAR($A759))</f>
        <v/>
      </c>
      <c r="I759" s="21">
        <f>IF($A759="",0,YEAR($A759)*12+MONTH($A759))</f>
        <v/>
      </c>
    </row>
    <row r="760">
      <c r="A760" s="16" t="n"/>
      <c r="B760" s="17" t="n"/>
      <c r="C760" s="17" t="n"/>
      <c r="D760" s="18" t="n"/>
      <c r="E760" s="18" t="n"/>
      <c r="F760" s="17" t="n"/>
      <c r="G760" s="19" t="n"/>
      <c r="H760" s="20">
        <f>IF($A760="","",MONTH($A760)&amp;"/"&amp;YEAR($A760))</f>
        <v/>
      </c>
      <c r="I760" s="21">
        <f>IF($A760="",0,YEAR($A760)*12+MONTH($A760))</f>
        <v/>
      </c>
    </row>
    <row r="761">
      <c r="A761" s="16" t="n"/>
      <c r="B761" s="17" t="n"/>
      <c r="C761" s="17" t="n"/>
      <c r="D761" s="18" t="n"/>
      <c r="E761" s="18" t="n"/>
      <c r="F761" s="17" t="n"/>
      <c r="G761" s="19" t="n"/>
      <c r="H761" s="20">
        <f>IF($A761="","",MONTH($A761)&amp;"/"&amp;YEAR($A761))</f>
        <v/>
      </c>
      <c r="I761" s="21">
        <f>IF($A761="",0,YEAR($A761)*12+MONTH($A761))</f>
        <v/>
      </c>
    </row>
    <row r="762">
      <c r="A762" s="16" t="n"/>
      <c r="B762" s="17" t="n"/>
      <c r="C762" s="17" t="n"/>
      <c r="D762" s="18" t="n"/>
      <c r="E762" s="18" t="n"/>
      <c r="F762" s="17" t="n"/>
      <c r="G762" s="19" t="n"/>
      <c r="H762" s="20">
        <f>IF($A762="","",MONTH($A762)&amp;"/"&amp;YEAR($A762))</f>
        <v/>
      </c>
      <c r="I762" s="21">
        <f>IF($A762="",0,YEAR($A762)*12+MONTH($A762))</f>
        <v/>
      </c>
    </row>
    <row r="763">
      <c r="A763" s="16" t="n"/>
      <c r="B763" s="17" t="n"/>
      <c r="C763" s="17" t="n"/>
      <c r="D763" s="18" t="n"/>
      <c r="E763" s="18" t="n"/>
      <c r="F763" s="17" t="n"/>
      <c r="G763" s="19" t="n"/>
      <c r="H763" s="20">
        <f>IF($A763="","",MONTH($A763)&amp;"/"&amp;YEAR($A763))</f>
        <v/>
      </c>
      <c r="I763" s="21">
        <f>IF($A763="",0,YEAR($A763)*12+MONTH($A763))</f>
        <v/>
      </c>
    </row>
    <row r="764">
      <c r="A764" s="16" t="n"/>
      <c r="B764" s="17" t="n"/>
      <c r="C764" s="17" t="n"/>
      <c r="D764" s="18" t="n"/>
      <c r="E764" s="18" t="n"/>
      <c r="F764" s="17" t="n"/>
      <c r="G764" s="19" t="n"/>
      <c r="H764" s="20">
        <f>IF($A764="","",MONTH($A764)&amp;"/"&amp;YEAR($A764))</f>
        <v/>
      </c>
      <c r="I764" s="21">
        <f>IF($A764="",0,YEAR($A764)*12+MONTH($A764))</f>
        <v/>
      </c>
    </row>
    <row r="765">
      <c r="A765" s="16" t="n"/>
      <c r="B765" s="17" t="n"/>
      <c r="C765" s="17" t="n"/>
      <c r="D765" s="18" t="n"/>
      <c r="E765" s="18" t="n"/>
      <c r="F765" s="17" t="n"/>
      <c r="G765" s="19" t="n"/>
      <c r="H765" s="20">
        <f>IF($A765="","",MONTH($A765)&amp;"/"&amp;YEAR($A765))</f>
        <v/>
      </c>
      <c r="I765" s="21">
        <f>IF($A765="",0,YEAR($A765)*12+MONTH($A765))</f>
        <v/>
      </c>
    </row>
    <row r="766">
      <c r="A766" s="16" t="n"/>
      <c r="B766" s="17" t="n"/>
      <c r="C766" s="17" t="n"/>
      <c r="D766" s="18" t="n"/>
      <c r="E766" s="18" t="n"/>
      <c r="F766" s="17" t="n"/>
      <c r="G766" s="19" t="n"/>
      <c r="H766" s="20">
        <f>IF($A766="","",MONTH($A766)&amp;"/"&amp;YEAR($A766))</f>
        <v/>
      </c>
      <c r="I766" s="21">
        <f>IF($A766="",0,YEAR($A766)*12+MONTH($A766))</f>
        <v/>
      </c>
    </row>
    <row r="767">
      <c r="A767" s="16" t="n"/>
      <c r="B767" s="17" t="n"/>
      <c r="C767" s="17" t="n"/>
      <c r="D767" s="18" t="n"/>
      <c r="E767" s="18" t="n"/>
      <c r="F767" s="17" t="n"/>
      <c r="G767" s="19" t="n"/>
      <c r="H767" s="20">
        <f>IF($A767="","",MONTH($A767)&amp;"/"&amp;YEAR($A767))</f>
        <v/>
      </c>
      <c r="I767" s="21">
        <f>IF($A767="",0,YEAR($A767)*12+MONTH($A767))</f>
        <v/>
      </c>
    </row>
    <row r="768">
      <c r="A768" s="16" t="n"/>
      <c r="B768" s="17" t="n"/>
      <c r="C768" s="17" t="n"/>
      <c r="D768" s="18" t="n"/>
      <c r="E768" s="18" t="n"/>
      <c r="F768" s="17" t="n"/>
      <c r="G768" s="19" t="n"/>
      <c r="H768" s="20">
        <f>IF($A768="","",MONTH($A768)&amp;"/"&amp;YEAR($A768))</f>
        <v/>
      </c>
      <c r="I768" s="21">
        <f>IF($A768="",0,YEAR($A768)*12+MONTH($A768))</f>
        <v/>
      </c>
    </row>
    <row r="769">
      <c r="A769" s="16" t="n"/>
      <c r="B769" s="17" t="n"/>
      <c r="C769" s="17" t="n"/>
      <c r="D769" s="18" t="n"/>
      <c r="E769" s="18" t="n"/>
      <c r="F769" s="17" t="n"/>
      <c r="G769" s="19" t="n"/>
      <c r="H769" s="20">
        <f>IF($A769="","",MONTH($A769)&amp;"/"&amp;YEAR($A769))</f>
        <v/>
      </c>
      <c r="I769" s="21">
        <f>IF($A769="",0,YEAR($A769)*12+MONTH($A769))</f>
        <v/>
      </c>
    </row>
    <row r="770">
      <c r="A770" s="16" t="n"/>
      <c r="B770" s="17" t="n"/>
      <c r="C770" s="17" t="n"/>
      <c r="D770" s="18" t="n"/>
      <c r="E770" s="18" t="n"/>
      <c r="F770" s="17" t="n"/>
      <c r="G770" s="19" t="n"/>
      <c r="H770" s="20">
        <f>IF($A770="","",MONTH($A770)&amp;"/"&amp;YEAR($A770))</f>
        <v/>
      </c>
      <c r="I770" s="21">
        <f>IF($A770="",0,YEAR($A770)*12+MONTH($A770))</f>
        <v/>
      </c>
    </row>
    <row r="771">
      <c r="A771" s="16" t="n"/>
      <c r="B771" s="17" t="n"/>
      <c r="C771" s="17" t="n"/>
      <c r="D771" s="18" t="n"/>
      <c r="E771" s="18" t="n"/>
      <c r="F771" s="17" t="n"/>
      <c r="G771" s="19" t="n"/>
      <c r="H771" s="20">
        <f>IF($A771="","",MONTH($A771)&amp;"/"&amp;YEAR($A771))</f>
        <v/>
      </c>
      <c r="I771" s="21">
        <f>IF($A771="",0,YEAR($A771)*12+MONTH($A771))</f>
        <v/>
      </c>
    </row>
    <row r="772">
      <c r="A772" s="16" t="n"/>
      <c r="B772" s="17" t="n"/>
      <c r="C772" s="17" t="n"/>
      <c r="D772" s="18" t="n"/>
      <c r="E772" s="18" t="n"/>
      <c r="F772" s="17" t="n"/>
      <c r="G772" s="19" t="n"/>
      <c r="H772" s="20">
        <f>IF($A772="","",MONTH($A772)&amp;"/"&amp;YEAR($A772))</f>
        <v/>
      </c>
      <c r="I772" s="21">
        <f>IF($A772="",0,YEAR($A772)*12+MONTH($A772))</f>
        <v/>
      </c>
    </row>
    <row r="773">
      <c r="A773" s="16" t="n"/>
      <c r="B773" s="17" t="n"/>
      <c r="C773" s="17" t="n"/>
      <c r="D773" s="18" t="n"/>
      <c r="E773" s="18" t="n"/>
      <c r="F773" s="17" t="n"/>
      <c r="G773" s="19" t="n"/>
      <c r="H773" s="20">
        <f>IF($A773="","",MONTH($A773)&amp;"/"&amp;YEAR($A773))</f>
        <v/>
      </c>
      <c r="I773" s="21">
        <f>IF($A773="",0,YEAR($A773)*12+MONTH($A773))</f>
        <v/>
      </c>
    </row>
    <row r="774">
      <c r="A774" s="16" t="n"/>
      <c r="B774" s="17" t="n"/>
      <c r="C774" s="17" t="n"/>
      <c r="D774" s="18" t="n"/>
      <c r="E774" s="18" t="n"/>
      <c r="F774" s="17" t="n"/>
      <c r="G774" s="19" t="n"/>
      <c r="H774" s="20">
        <f>IF($A774="","",MONTH($A774)&amp;"/"&amp;YEAR($A774))</f>
        <v/>
      </c>
      <c r="I774" s="21">
        <f>IF($A774="",0,YEAR($A774)*12+MONTH($A774))</f>
        <v/>
      </c>
    </row>
    <row r="775">
      <c r="A775" s="16" t="n"/>
      <c r="B775" s="17" t="n"/>
      <c r="C775" s="17" t="n"/>
      <c r="D775" s="18" t="n"/>
      <c r="E775" s="18" t="n"/>
      <c r="F775" s="17" t="n"/>
      <c r="G775" s="19" t="n"/>
      <c r="H775" s="20">
        <f>IF($A775="","",MONTH($A775)&amp;"/"&amp;YEAR($A775))</f>
        <v/>
      </c>
      <c r="I775" s="21">
        <f>IF($A775="",0,YEAR($A775)*12+MONTH($A775))</f>
        <v/>
      </c>
    </row>
    <row r="776">
      <c r="A776" s="16" t="n"/>
      <c r="B776" s="17" t="n"/>
      <c r="C776" s="17" t="n"/>
      <c r="D776" s="18" t="n"/>
      <c r="E776" s="18" t="n"/>
      <c r="F776" s="17" t="n"/>
      <c r="G776" s="19" t="n"/>
      <c r="H776" s="20">
        <f>IF($A776="","",MONTH($A776)&amp;"/"&amp;YEAR($A776))</f>
        <v/>
      </c>
      <c r="I776" s="21">
        <f>IF($A776="",0,YEAR($A776)*12+MONTH($A776))</f>
        <v/>
      </c>
    </row>
    <row r="777">
      <c r="A777" s="16" t="n"/>
      <c r="B777" s="17" t="n"/>
      <c r="C777" s="17" t="n"/>
      <c r="D777" s="18" t="n"/>
      <c r="E777" s="18" t="n"/>
      <c r="F777" s="17" t="n"/>
      <c r="G777" s="19" t="n"/>
      <c r="H777" s="20">
        <f>IF($A777="","",MONTH($A777)&amp;"/"&amp;YEAR($A777))</f>
        <v/>
      </c>
      <c r="I777" s="21">
        <f>IF($A777="",0,YEAR($A777)*12+MONTH($A777))</f>
        <v/>
      </c>
    </row>
    <row r="778">
      <c r="A778" s="16" t="n"/>
      <c r="B778" s="17" t="n"/>
      <c r="C778" s="17" t="n"/>
      <c r="D778" s="18" t="n"/>
      <c r="E778" s="18" t="n"/>
      <c r="F778" s="17" t="n"/>
      <c r="G778" s="19" t="n"/>
      <c r="H778" s="20">
        <f>IF($A778="","",MONTH($A778)&amp;"/"&amp;YEAR($A778))</f>
        <v/>
      </c>
      <c r="I778" s="21">
        <f>IF($A778="",0,YEAR($A778)*12+MONTH($A778))</f>
        <v/>
      </c>
    </row>
    <row r="779">
      <c r="A779" s="16" t="n"/>
      <c r="B779" s="17" t="n"/>
      <c r="C779" s="17" t="n"/>
      <c r="D779" s="18" t="n"/>
      <c r="E779" s="18" t="n"/>
      <c r="F779" s="17" t="n"/>
      <c r="G779" s="19" t="n"/>
      <c r="H779" s="20">
        <f>IF($A779="","",MONTH($A779)&amp;"/"&amp;YEAR($A779))</f>
        <v/>
      </c>
      <c r="I779" s="21">
        <f>IF($A779="",0,YEAR($A779)*12+MONTH($A779))</f>
        <v/>
      </c>
    </row>
    <row r="780">
      <c r="A780" s="16" t="n"/>
      <c r="B780" s="17" t="n"/>
      <c r="C780" s="17" t="n"/>
      <c r="D780" s="18" t="n"/>
      <c r="E780" s="18" t="n"/>
      <c r="F780" s="17" t="n"/>
      <c r="G780" s="19" t="n"/>
      <c r="H780" s="20">
        <f>IF($A780="","",MONTH($A780)&amp;"/"&amp;YEAR($A780))</f>
        <v/>
      </c>
      <c r="I780" s="21">
        <f>IF($A780="",0,YEAR($A780)*12+MONTH($A780))</f>
        <v/>
      </c>
    </row>
    <row r="781">
      <c r="A781" s="16" t="n"/>
      <c r="B781" s="17" t="n"/>
      <c r="C781" s="17" t="n"/>
      <c r="D781" s="18" t="n"/>
      <c r="E781" s="18" t="n"/>
      <c r="F781" s="17" t="n"/>
      <c r="G781" s="19" t="n"/>
      <c r="H781" s="20">
        <f>IF($A781="","",MONTH($A781)&amp;"/"&amp;YEAR($A781))</f>
        <v/>
      </c>
      <c r="I781" s="21">
        <f>IF($A781="",0,YEAR($A781)*12+MONTH($A781))</f>
        <v/>
      </c>
    </row>
    <row r="782">
      <c r="A782" s="16" t="n"/>
      <c r="B782" s="17" t="n"/>
      <c r="C782" s="17" t="n"/>
      <c r="D782" s="18" t="n"/>
      <c r="E782" s="18" t="n"/>
      <c r="F782" s="17" t="n"/>
      <c r="G782" s="19" t="n"/>
      <c r="H782" s="20">
        <f>IF($A782="","",MONTH($A782)&amp;"/"&amp;YEAR($A782))</f>
        <v/>
      </c>
      <c r="I782" s="21">
        <f>IF($A782="",0,YEAR($A782)*12+MONTH($A782))</f>
        <v/>
      </c>
    </row>
    <row r="783">
      <c r="A783" s="16" t="n"/>
      <c r="B783" s="17" t="n"/>
      <c r="C783" s="17" t="n"/>
      <c r="D783" s="18" t="n"/>
      <c r="E783" s="18" t="n"/>
      <c r="F783" s="17" t="n"/>
      <c r="G783" s="19" t="n"/>
      <c r="H783" s="20">
        <f>IF($A783="","",MONTH($A783)&amp;"/"&amp;YEAR($A783))</f>
        <v/>
      </c>
      <c r="I783" s="21">
        <f>IF($A783="",0,YEAR($A783)*12+MONTH($A783))</f>
        <v/>
      </c>
    </row>
    <row r="784">
      <c r="A784" s="16" t="n"/>
      <c r="B784" s="17" t="n"/>
      <c r="C784" s="17" t="n"/>
      <c r="D784" s="18" t="n"/>
      <c r="E784" s="18" t="n"/>
      <c r="F784" s="17" t="n"/>
      <c r="G784" s="19" t="n"/>
      <c r="H784" s="20">
        <f>IF($A784="","",MONTH($A784)&amp;"/"&amp;YEAR($A784))</f>
        <v/>
      </c>
      <c r="I784" s="21">
        <f>IF($A784="",0,YEAR($A784)*12+MONTH($A784))</f>
        <v/>
      </c>
    </row>
    <row r="785">
      <c r="A785" s="16" t="n"/>
      <c r="B785" s="17" t="n"/>
      <c r="C785" s="17" t="n"/>
      <c r="D785" s="18" t="n"/>
      <c r="E785" s="18" t="n"/>
      <c r="F785" s="17" t="n"/>
      <c r="G785" s="19" t="n"/>
      <c r="H785" s="20">
        <f>IF($A785="","",MONTH($A785)&amp;"/"&amp;YEAR($A785))</f>
        <v/>
      </c>
      <c r="I785" s="21">
        <f>IF($A785="",0,YEAR($A785)*12+MONTH($A785))</f>
        <v/>
      </c>
    </row>
    <row r="786">
      <c r="A786" s="16" t="n"/>
      <c r="B786" s="17" t="n"/>
      <c r="C786" s="17" t="n"/>
      <c r="D786" s="18" t="n"/>
      <c r="E786" s="18" t="n"/>
      <c r="F786" s="17" t="n"/>
      <c r="G786" s="19" t="n"/>
      <c r="H786" s="20">
        <f>IF($A786="","",MONTH($A786)&amp;"/"&amp;YEAR($A786))</f>
        <v/>
      </c>
      <c r="I786" s="21">
        <f>IF($A786="",0,YEAR($A786)*12+MONTH($A786))</f>
        <v/>
      </c>
    </row>
    <row r="787">
      <c r="A787" s="16" t="n"/>
      <c r="B787" s="17" t="n"/>
      <c r="C787" s="17" t="n"/>
      <c r="D787" s="18" t="n"/>
      <c r="E787" s="18" t="n"/>
      <c r="F787" s="17" t="n"/>
      <c r="G787" s="19" t="n"/>
      <c r="H787" s="20">
        <f>IF($A787="","",MONTH($A787)&amp;"/"&amp;YEAR($A787))</f>
        <v/>
      </c>
      <c r="I787" s="21">
        <f>IF($A787="",0,YEAR($A787)*12+MONTH($A787))</f>
        <v/>
      </c>
    </row>
    <row r="788">
      <c r="A788" s="16" t="n"/>
      <c r="B788" s="17" t="n"/>
      <c r="C788" s="17" t="n"/>
      <c r="D788" s="18" t="n"/>
      <c r="E788" s="18" t="n"/>
      <c r="F788" s="17" t="n"/>
      <c r="G788" s="19" t="n"/>
      <c r="H788" s="20">
        <f>IF($A788="","",MONTH($A788)&amp;"/"&amp;YEAR($A788))</f>
        <v/>
      </c>
      <c r="I788" s="21">
        <f>IF($A788="",0,YEAR($A788)*12+MONTH($A788))</f>
        <v/>
      </c>
    </row>
    <row r="789">
      <c r="A789" s="16" t="n"/>
      <c r="B789" s="17" t="n"/>
      <c r="C789" s="17" t="n"/>
      <c r="D789" s="18" t="n"/>
      <c r="E789" s="18" t="n"/>
      <c r="F789" s="17" t="n"/>
      <c r="G789" s="19" t="n"/>
      <c r="H789" s="20">
        <f>IF($A789="","",MONTH($A789)&amp;"/"&amp;YEAR($A789))</f>
        <v/>
      </c>
      <c r="I789" s="21">
        <f>IF($A789="",0,YEAR($A789)*12+MONTH($A789))</f>
        <v/>
      </c>
    </row>
    <row r="790">
      <c r="A790" s="16" t="n"/>
      <c r="B790" s="17" t="n"/>
      <c r="C790" s="17" t="n"/>
      <c r="D790" s="18" t="n"/>
      <c r="E790" s="18" t="n"/>
      <c r="F790" s="17" t="n"/>
      <c r="G790" s="19" t="n"/>
      <c r="H790" s="20">
        <f>IF($A790="","",MONTH($A790)&amp;"/"&amp;YEAR($A790))</f>
        <v/>
      </c>
      <c r="I790" s="21">
        <f>IF($A790="",0,YEAR($A790)*12+MONTH($A790))</f>
        <v/>
      </c>
    </row>
    <row r="791">
      <c r="A791" s="16" t="n"/>
      <c r="B791" s="17" t="n"/>
      <c r="C791" s="17" t="n"/>
      <c r="D791" s="18" t="n"/>
      <c r="E791" s="18" t="n"/>
      <c r="F791" s="17" t="n"/>
      <c r="G791" s="19" t="n"/>
      <c r="H791" s="20">
        <f>IF($A791="","",MONTH($A791)&amp;"/"&amp;YEAR($A791))</f>
        <v/>
      </c>
      <c r="I791" s="21">
        <f>IF($A791="",0,YEAR($A791)*12+MONTH($A791))</f>
        <v/>
      </c>
    </row>
    <row r="792">
      <c r="A792" s="16" t="n"/>
      <c r="B792" s="17" t="n"/>
      <c r="C792" s="17" t="n"/>
      <c r="D792" s="18" t="n"/>
      <c r="E792" s="18" t="n"/>
      <c r="F792" s="17" t="n"/>
      <c r="G792" s="19" t="n"/>
      <c r="H792" s="20">
        <f>IF($A792="","",MONTH($A792)&amp;"/"&amp;YEAR($A792))</f>
        <v/>
      </c>
      <c r="I792" s="21">
        <f>IF($A792="",0,YEAR($A792)*12+MONTH($A792))</f>
        <v/>
      </c>
    </row>
    <row r="793">
      <c r="A793" s="16" t="n"/>
      <c r="B793" s="17" t="n"/>
      <c r="C793" s="17" t="n"/>
      <c r="D793" s="18" t="n"/>
      <c r="E793" s="18" t="n"/>
      <c r="F793" s="17" t="n"/>
      <c r="G793" s="19" t="n"/>
      <c r="H793" s="20">
        <f>IF($A793="","",MONTH($A793)&amp;"/"&amp;YEAR($A793))</f>
        <v/>
      </c>
      <c r="I793" s="21">
        <f>IF($A793="",0,YEAR($A793)*12+MONTH($A793))</f>
        <v/>
      </c>
    </row>
    <row r="794">
      <c r="A794" s="16" t="n"/>
      <c r="B794" s="17" t="n"/>
      <c r="C794" s="17" t="n"/>
      <c r="D794" s="18" t="n"/>
      <c r="E794" s="18" t="n"/>
      <c r="F794" s="17" t="n"/>
      <c r="G794" s="19" t="n"/>
      <c r="H794" s="20">
        <f>IF($A794="","",MONTH($A794)&amp;"/"&amp;YEAR($A794))</f>
        <v/>
      </c>
      <c r="I794" s="21">
        <f>IF($A794="",0,YEAR($A794)*12+MONTH($A794))</f>
        <v/>
      </c>
    </row>
    <row r="795">
      <c r="A795" s="16" t="n"/>
      <c r="B795" s="17" t="n"/>
      <c r="C795" s="17" t="n"/>
      <c r="D795" s="18" t="n"/>
      <c r="E795" s="18" t="n"/>
      <c r="F795" s="17" t="n"/>
      <c r="G795" s="19" t="n"/>
      <c r="H795" s="20">
        <f>IF($A795="","",MONTH($A795)&amp;"/"&amp;YEAR($A795))</f>
        <v/>
      </c>
      <c r="I795" s="21">
        <f>IF($A795="",0,YEAR($A795)*12+MONTH($A795))</f>
        <v/>
      </c>
    </row>
    <row r="796">
      <c r="A796" s="16" t="n"/>
      <c r="B796" s="17" t="n"/>
      <c r="C796" s="17" t="n"/>
      <c r="D796" s="18" t="n"/>
      <c r="E796" s="18" t="n"/>
      <c r="F796" s="17" t="n"/>
      <c r="G796" s="19" t="n"/>
      <c r="H796" s="20">
        <f>IF($A796="","",MONTH($A796)&amp;"/"&amp;YEAR($A796))</f>
        <v/>
      </c>
      <c r="I796" s="21">
        <f>IF($A796="",0,YEAR($A796)*12+MONTH($A796))</f>
        <v/>
      </c>
    </row>
    <row r="797">
      <c r="A797" s="16" t="n"/>
      <c r="B797" s="17" t="n"/>
      <c r="C797" s="17" t="n"/>
      <c r="D797" s="18" t="n"/>
      <c r="E797" s="18" t="n"/>
      <c r="F797" s="17" t="n"/>
      <c r="G797" s="19" t="n"/>
      <c r="H797" s="20">
        <f>IF($A797="","",MONTH($A797)&amp;"/"&amp;YEAR($A797))</f>
        <v/>
      </c>
      <c r="I797" s="21">
        <f>IF($A797="",0,YEAR($A797)*12+MONTH($A797))</f>
        <v/>
      </c>
    </row>
    <row r="798">
      <c r="A798" s="16" t="n"/>
      <c r="B798" s="17" t="n"/>
      <c r="C798" s="17" t="n"/>
      <c r="D798" s="18" t="n"/>
      <c r="E798" s="18" t="n"/>
      <c r="F798" s="17" t="n"/>
      <c r="G798" s="19" t="n"/>
      <c r="H798" s="20">
        <f>IF($A798="","",MONTH($A798)&amp;"/"&amp;YEAR($A798))</f>
        <v/>
      </c>
      <c r="I798" s="21">
        <f>IF($A798="",0,YEAR($A798)*12+MONTH($A798))</f>
        <v/>
      </c>
    </row>
    <row r="799">
      <c r="A799" s="16" t="n"/>
      <c r="B799" s="17" t="n"/>
      <c r="C799" s="17" t="n"/>
      <c r="D799" s="18" t="n"/>
      <c r="E799" s="18" t="n"/>
      <c r="F799" s="17" t="n"/>
      <c r="G799" s="19" t="n"/>
      <c r="H799" s="20">
        <f>IF($A799="","",MONTH($A799)&amp;"/"&amp;YEAR($A799))</f>
        <v/>
      </c>
      <c r="I799" s="21">
        <f>IF($A799="",0,YEAR($A799)*12+MONTH($A799))</f>
        <v/>
      </c>
    </row>
    <row r="800">
      <c r="A800" s="16" t="n"/>
      <c r="B800" s="17" t="n"/>
      <c r="C800" s="17" t="n"/>
      <c r="D800" s="18" t="n"/>
      <c r="E800" s="18" t="n"/>
      <c r="F800" s="17" t="n"/>
      <c r="G800" s="19" t="n"/>
      <c r="H800" s="20">
        <f>IF($A800="","",MONTH($A800)&amp;"/"&amp;YEAR($A800))</f>
        <v/>
      </c>
      <c r="I800" s="21">
        <f>IF($A800="",0,YEAR($A800)*12+MONTH($A800))</f>
        <v/>
      </c>
    </row>
    <row r="801">
      <c r="A801" s="16" t="n"/>
      <c r="B801" s="17" t="n"/>
      <c r="C801" s="17" t="n"/>
      <c r="D801" s="18" t="n"/>
      <c r="E801" s="18" t="n"/>
      <c r="F801" s="17" t="n"/>
      <c r="G801" s="19" t="n"/>
      <c r="H801" s="20">
        <f>IF($A801="","",MONTH($A801)&amp;"/"&amp;YEAR($A801))</f>
        <v/>
      </c>
      <c r="I801" s="21">
        <f>IF($A801="",0,YEAR($A801)*12+MONTH($A801))</f>
        <v/>
      </c>
    </row>
    <row r="802">
      <c r="A802" s="16" t="n"/>
      <c r="B802" s="17" t="n"/>
      <c r="C802" s="17" t="n"/>
      <c r="D802" s="18" t="n"/>
      <c r="E802" s="18" t="n"/>
      <c r="F802" s="17" t="n"/>
      <c r="G802" s="19" t="n"/>
      <c r="H802" s="20">
        <f>IF($A802="","",MONTH($A802)&amp;"/"&amp;YEAR($A802))</f>
        <v/>
      </c>
      <c r="I802" s="21">
        <f>IF($A802="",0,YEAR($A802)*12+MONTH($A802))</f>
        <v/>
      </c>
    </row>
    <row r="803">
      <c r="A803" s="16" t="n"/>
      <c r="B803" s="17" t="n"/>
      <c r="C803" s="17" t="n"/>
      <c r="D803" s="18" t="n"/>
      <c r="E803" s="18" t="n"/>
      <c r="F803" s="17" t="n"/>
      <c r="G803" s="19" t="n"/>
      <c r="H803" s="20">
        <f>IF($A803="","",MONTH($A803)&amp;"/"&amp;YEAR($A803))</f>
        <v/>
      </c>
      <c r="I803" s="21">
        <f>IF($A803="",0,YEAR($A803)*12+MONTH($A803))</f>
        <v/>
      </c>
    </row>
    <row r="804">
      <c r="A804" s="16" t="n"/>
      <c r="B804" s="17" t="n"/>
      <c r="C804" s="17" t="n"/>
      <c r="D804" s="18" t="n"/>
      <c r="E804" s="18" t="n"/>
      <c r="F804" s="17" t="n"/>
      <c r="G804" s="19" t="n"/>
      <c r="H804" s="20">
        <f>IF($A804="","",MONTH($A804)&amp;"/"&amp;YEAR($A804))</f>
        <v/>
      </c>
      <c r="I804" s="21">
        <f>IF($A804="",0,YEAR($A804)*12+MONTH($A804))</f>
        <v/>
      </c>
    </row>
    <row r="805">
      <c r="A805" s="16" t="n"/>
      <c r="B805" s="17" t="n"/>
      <c r="C805" s="17" t="n"/>
      <c r="D805" s="18" t="n"/>
      <c r="E805" s="18" t="n"/>
      <c r="F805" s="17" t="n"/>
      <c r="G805" s="19" t="n"/>
      <c r="H805" s="20">
        <f>IF($A805="","",MONTH($A805)&amp;"/"&amp;YEAR($A805))</f>
        <v/>
      </c>
      <c r="I805" s="21">
        <f>IF($A805="",0,YEAR($A805)*12+MONTH($A805))</f>
        <v/>
      </c>
    </row>
    <row r="806">
      <c r="A806" s="16" t="n"/>
      <c r="B806" s="17" t="n"/>
      <c r="C806" s="17" t="n"/>
      <c r="D806" s="18" t="n"/>
      <c r="E806" s="18" t="n"/>
      <c r="F806" s="17" t="n"/>
      <c r="G806" s="19" t="n"/>
      <c r="H806" s="20">
        <f>IF($A806="","",MONTH($A806)&amp;"/"&amp;YEAR($A806))</f>
        <v/>
      </c>
      <c r="I806" s="21">
        <f>IF($A806="",0,YEAR($A806)*12+MONTH($A806))</f>
        <v/>
      </c>
    </row>
    <row r="807">
      <c r="A807" s="16" t="n"/>
      <c r="B807" s="17" t="n"/>
      <c r="C807" s="17" t="n"/>
      <c r="D807" s="18" t="n"/>
      <c r="E807" s="18" t="n"/>
      <c r="F807" s="17" t="n"/>
      <c r="G807" s="19" t="n"/>
      <c r="H807" s="20">
        <f>IF($A807="","",MONTH($A807)&amp;"/"&amp;YEAR($A807))</f>
        <v/>
      </c>
      <c r="I807" s="21">
        <f>IF($A807="",0,YEAR($A807)*12+MONTH($A807))</f>
        <v/>
      </c>
    </row>
    <row r="808">
      <c r="A808" s="16" t="n"/>
      <c r="B808" s="17" t="n"/>
      <c r="C808" s="17" t="n"/>
      <c r="D808" s="18" t="n"/>
      <c r="E808" s="18" t="n"/>
      <c r="F808" s="17" t="n"/>
      <c r="G808" s="19" t="n"/>
      <c r="H808" s="20">
        <f>IF($A808="","",MONTH($A808)&amp;"/"&amp;YEAR($A808))</f>
        <v/>
      </c>
      <c r="I808" s="21">
        <f>IF($A808="",0,YEAR($A808)*12+MONTH($A808))</f>
        <v/>
      </c>
    </row>
    <row r="809">
      <c r="A809" s="16" t="n"/>
      <c r="B809" s="17" t="n"/>
      <c r="C809" s="17" t="n"/>
      <c r="D809" s="18" t="n"/>
      <c r="E809" s="18" t="n"/>
      <c r="F809" s="17" t="n"/>
      <c r="G809" s="19" t="n"/>
      <c r="H809" s="20">
        <f>IF($A809="","",MONTH($A809)&amp;"/"&amp;YEAR($A809))</f>
        <v/>
      </c>
      <c r="I809" s="21">
        <f>IF($A809="",0,YEAR($A809)*12+MONTH($A809))</f>
        <v/>
      </c>
    </row>
    <row r="810">
      <c r="A810" s="16" t="n"/>
      <c r="B810" s="17" t="n"/>
      <c r="C810" s="17" t="n"/>
      <c r="D810" s="18" t="n"/>
      <c r="E810" s="18" t="n"/>
      <c r="F810" s="17" t="n"/>
      <c r="G810" s="19" t="n"/>
      <c r="H810" s="20">
        <f>IF($A810="","",MONTH($A810)&amp;"/"&amp;YEAR($A810))</f>
        <v/>
      </c>
      <c r="I810" s="21">
        <f>IF($A810="",0,YEAR($A810)*12+MONTH($A810))</f>
        <v/>
      </c>
    </row>
    <row r="811">
      <c r="A811" s="16" t="n"/>
      <c r="B811" s="17" t="n"/>
      <c r="C811" s="17" t="n"/>
      <c r="D811" s="18" t="n"/>
      <c r="E811" s="18" t="n"/>
      <c r="F811" s="17" t="n"/>
      <c r="G811" s="19" t="n"/>
      <c r="H811" s="20">
        <f>IF($A811="","",MONTH($A811)&amp;"/"&amp;YEAR($A811))</f>
        <v/>
      </c>
      <c r="I811" s="21">
        <f>IF($A811="",0,YEAR($A811)*12+MONTH($A811))</f>
        <v/>
      </c>
    </row>
    <row r="812">
      <c r="A812" s="16" t="n"/>
      <c r="B812" s="17" t="n"/>
      <c r="C812" s="17" t="n"/>
      <c r="D812" s="18" t="n"/>
      <c r="E812" s="18" t="n"/>
      <c r="F812" s="17" t="n"/>
      <c r="G812" s="19" t="n"/>
      <c r="H812" s="20">
        <f>IF($A812="","",MONTH($A812)&amp;"/"&amp;YEAR($A812))</f>
        <v/>
      </c>
      <c r="I812" s="21">
        <f>IF($A812="",0,YEAR($A812)*12+MONTH($A812))</f>
        <v/>
      </c>
    </row>
    <row r="813">
      <c r="A813" s="16" t="n"/>
      <c r="B813" s="17" t="n"/>
      <c r="C813" s="17" t="n"/>
      <c r="D813" s="18" t="n"/>
      <c r="E813" s="18" t="n"/>
      <c r="F813" s="17" t="n"/>
      <c r="G813" s="19" t="n"/>
      <c r="H813" s="20">
        <f>IF($A813="","",MONTH($A813)&amp;"/"&amp;YEAR($A813))</f>
        <v/>
      </c>
      <c r="I813" s="21">
        <f>IF($A813="",0,YEAR($A813)*12+MONTH($A813))</f>
        <v/>
      </c>
    </row>
    <row r="814">
      <c r="A814" s="16" t="n"/>
      <c r="B814" s="17" t="n"/>
      <c r="C814" s="17" t="n"/>
      <c r="D814" s="18" t="n"/>
      <c r="E814" s="18" t="n"/>
      <c r="F814" s="17" t="n"/>
      <c r="G814" s="19" t="n"/>
      <c r="H814" s="20">
        <f>IF($A814="","",MONTH($A814)&amp;"/"&amp;YEAR($A814))</f>
        <v/>
      </c>
      <c r="I814" s="21">
        <f>IF($A814="",0,YEAR($A814)*12+MONTH($A814))</f>
        <v/>
      </c>
    </row>
    <row r="815">
      <c r="A815" s="16" t="n"/>
      <c r="B815" s="17" t="n"/>
      <c r="C815" s="17" t="n"/>
      <c r="D815" s="18" t="n"/>
      <c r="E815" s="18" t="n"/>
      <c r="F815" s="17" t="n"/>
      <c r="G815" s="19" t="n"/>
      <c r="H815" s="20">
        <f>IF($A815="","",MONTH($A815)&amp;"/"&amp;YEAR($A815))</f>
        <v/>
      </c>
      <c r="I815" s="21">
        <f>IF($A815="",0,YEAR($A815)*12+MONTH($A815))</f>
        <v/>
      </c>
    </row>
    <row r="816">
      <c r="A816" s="16" t="n"/>
      <c r="B816" s="17" t="n"/>
      <c r="C816" s="17" t="n"/>
      <c r="D816" s="18" t="n"/>
      <c r="E816" s="18" t="n"/>
      <c r="F816" s="17" t="n"/>
      <c r="G816" s="19" t="n"/>
      <c r="H816" s="20">
        <f>IF($A816="","",MONTH($A816)&amp;"/"&amp;YEAR($A816))</f>
        <v/>
      </c>
      <c r="I816" s="21">
        <f>IF($A816="",0,YEAR($A816)*12+MONTH($A816))</f>
        <v/>
      </c>
    </row>
    <row r="817">
      <c r="A817" s="16" t="n"/>
      <c r="B817" s="17" t="n"/>
      <c r="C817" s="17" t="n"/>
      <c r="D817" s="18" t="n"/>
      <c r="E817" s="18" t="n"/>
      <c r="F817" s="17" t="n"/>
      <c r="G817" s="19" t="n"/>
      <c r="H817" s="20">
        <f>IF($A817="","",MONTH($A817)&amp;"/"&amp;YEAR($A817))</f>
        <v/>
      </c>
      <c r="I817" s="21">
        <f>IF($A817="",0,YEAR($A817)*12+MONTH($A817))</f>
        <v/>
      </c>
    </row>
    <row r="818">
      <c r="A818" s="16" t="n"/>
      <c r="B818" s="17" t="n"/>
      <c r="C818" s="17" t="n"/>
      <c r="D818" s="18" t="n"/>
      <c r="E818" s="18" t="n"/>
      <c r="F818" s="17" t="n"/>
      <c r="G818" s="19" t="n"/>
      <c r="H818" s="20">
        <f>IF($A818="","",MONTH($A818)&amp;"/"&amp;YEAR($A818))</f>
        <v/>
      </c>
      <c r="I818" s="21">
        <f>IF($A818="",0,YEAR($A818)*12+MONTH($A818))</f>
        <v/>
      </c>
    </row>
    <row r="819">
      <c r="A819" s="16" t="n"/>
      <c r="B819" s="17" t="n"/>
      <c r="C819" s="17" t="n"/>
      <c r="D819" s="18" t="n"/>
      <c r="E819" s="18" t="n"/>
      <c r="F819" s="17" t="n"/>
      <c r="G819" s="19" t="n"/>
      <c r="H819" s="20">
        <f>IF($A819="","",MONTH($A819)&amp;"/"&amp;YEAR($A819))</f>
        <v/>
      </c>
      <c r="I819" s="21">
        <f>IF($A819="",0,YEAR($A819)*12+MONTH($A819))</f>
        <v/>
      </c>
    </row>
    <row r="820">
      <c r="A820" s="16" t="n"/>
      <c r="B820" s="17" t="n"/>
      <c r="C820" s="17" t="n"/>
      <c r="D820" s="18" t="n"/>
      <c r="E820" s="18" t="n"/>
      <c r="F820" s="17" t="n"/>
      <c r="G820" s="19" t="n"/>
      <c r="H820" s="20">
        <f>IF($A820="","",MONTH($A820)&amp;"/"&amp;YEAR($A820))</f>
        <v/>
      </c>
      <c r="I820" s="21">
        <f>IF($A820="",0,YEAR($A820)*12+MONTH($A820))</f>
        <v/>
      </c>
    </row>
    <row r="821">
      <c r="A821" s="16" t="n"/>
      <c r="B821" s="17" t="n"/>
      <c r="C821" s="17" t="n"/>
      <c r="D821" s="18" t="n"/>
      <c r="E821" s="18" t="n"/>
      <c r="F821" s="17" t="n"/>
      <c r="G821" s="19" t="n"/>
      <c r="H821" s="20">
        <f>IF($A821="","",MONTH($A821)&amp;"/"&amp;YEAR($A821))</f>
        <v/>
      </c>
      <c r="I821" s="21">
        <f>IF($A821="",0,YEAR($A821)*12+MONTH($A821))</f>
        <v/>
      </c>
    </row>
    <row r="822">
      <c r="A822" s="16" t="n"/>
      <c r="B822" s="17" t="n"/>
      <c r="C822" s="17" t="n"/>
      <c r="D822" s="18" t="n"/>
      <c r="E822" s="18" t="n"/>
      <c r="F822" s="17" t="n"/>
      <c r="G822" s="19" t="n"/>
      <c r="H822" s="20">
        <f>IF($A822="","",MONTH($A822)&amp;"/"&amp;YEAR($A822))</f>
        <v/>
      </c>
      <c r="I822" s="21">
        <f>IF($A822="",0,YEAR($A822)*12+MONTH($A822))</f>
        <v/>
      </c>
    </row>
    <row r="823">
      <c r="A823" s="16" t="n"/>
      <c r="B823" s="17" t="n"/>
      <c r="C823" s="17" t="n"/>
      <c r="D823" s="18" t="n"/>
      <c r="E823" s="18" t="n"/>
      <c r="F823" s="17" t="n"/>
      <c r="G823" s="19" t="n"/>
      <c r="H823" s="20">
        <f>IF($A823="","",MONTH($A823)&amp;"/"&amp;YEAR($A823))</f>
        <v/>
      </c>
      <c r="I823" s="21">
        <f>IF($A823="",0,YEAR($A823)*12+MONTH($A823))</f>
        <v/>
      </c>
    </row>
    <row r="824">
      <c r="A824" s="16" t="n"/>
      <c r="B824" s="17" t="n"/>
      <c r="C824" s="17" t="n"/>
      <c r="D824" s="18" t="n"/>
      <c r="E824" s="18" t="n"/>
      <c r="F824" s="17" t="n"/>
      <c r="G824" s="19" t="n"/>
      <c r="H824" s="20">
        <f>IF($A824="","",MONTH($A824)&amp;"/"&amp;YEAR($A824))</f>
        <v/>
      </c>
      <c r="I824" s="21">
        <f>IF($A824="",0,YEAR($A824)*12+MONTH($A824))</f>
        <v/>
      </c>
    </row>
    <row r="825">
      <c r="A825" s="16" t="n"/>
      <c r="B825" s="17" t="n"/>
      <c r="C825" s="17" t="n"/>
      <c r="D825" s="18" t="n"/>
      <c r="E825" s="18" t="n"/>
      <c r="F825" s="17" t="n"/>
      <c r="G825" s="19" t="n"/>
      <c r="H825" s="20">
        <f>IF($A825="","",MONTH($A825)&amp;"/"&amp;YEAR($A825))</f>
        <v/>
      </c>
      <c r="I825" s="21">
        <f>IF($A825="",0,YEAR($A825)*12+MONTH($A825))</f>
        <v/>
      </c>
    </row>
    <row r="826">
      <c r="A826" s="16" t="n"/>
      <c r="B826" s="17" t="n"/>
      <c r="C826" s="17" t="n"/>
      <c r="D826" s="18" t="n"/>
      <c r="E826" s="18" t="n"/>
      <c r="F826" s="17" t="n"/>
      <c r="G826" s="19" t="n"/>
      <c r="H826" s="20">
        <f>IF($A826="","",MONTH($A826)&amp;"/"&amp;YEAR($A826))</f>
        <v/>
      </c>
      <c r="I826" s="21">
        <f>IF($A826="",0,YEAR($A826)*12+MONTH($A826))</f>
        <v/>
      </c>
    </row>
    <row r="827">
      <c r="A827" s="16" t="n"/>
      <c r="B827" s="17" t="n"/>
      <c r="C827" s="17" t="n"/>
      <c r="D827" s="18" t="n"/>
      <c r="E827" s="18" t="n"/>
      <c r="F827" s="17" t="n"/>
      <c r="G827" s="19" t="n"/>
      <c r="H827" s="20">
        <f>IF($A827="","",MONTH($A827)&amp;"/"&amp;YEAR($A827))</f>
        <v/>
      </c>
      <c r="I827" s="21">
        <f>IF($A827="",0,YEAR($A827)*12+MONTH($A827))</f>
        <v/>
      </c>
    </row>
    <row r="828">
      <c r="A828" s="16" t="n"/>
      <c r="B828" s="17" t="n"/>
      <c r="C828" s="17" t="n"/>
      <c r="D828" s="18" t="n"/>
      <c r="E828" s="18" t="n"/>
      <c r="F828" s="17" t="n"/>
      <c r="G828" s="19" t="n"/>
      <c r="H828" s="20">
        <f>IF($A828="","",MONTH($A828)&amp;"/"&amp;YEAR($A828))</f>
        <v/>
      </c>
      <c r="I828" s="21">
        <f>IF($A828="",0,YEAR($A828)*12+MONTH($A828))</f>
        <v/>
      </c>
    </row>
    <row r="829">
      <c r="A829" s="16" t="n"/>
      <c r="B829" s="17" t="n"/>
      <c r="C829" s="17" t="n"/>
      <c r="D829" s="18" t="n"/>
      <c r="E829" s="18" t="n"/>
      <c r="F829" s="17" t="n"/>
      <c r="G829" s="19" t="n"/>
      <c r="H829" s="20">
        <f>IF($A829="","",MONTH($A829)&amp;"/"&amp;YEAR($A829))</f>
        <v/>
      </c>
      <c r="I829" s="21">
        <f>IF($A829="",0,YEAR($A829)*12+MONTH($A829))</f>
        <v/>
      </c>
    </row>
    <row r="830">
      <c r="A830" s="16" t="n"/>
      <c r="B830" s="17" t="n"/>
      <c r="C830" s="17" t="n"/>
      <c r="D830" s="18" t="n"/>
      <c r="E830" s="18" t="n"/>
      <c r="F830" s="17" t="n"/>
      <c r="G830" s="19" t="n"/>
      <c r="H830" s="20">
        <f>IF($A830="","",MONTH($A830)&amp;"/"&amp;YEAR($A830))</f>
        <v/>
      </c>
      <c r="I830" s="21">
        <f>IF($A830="",0,YEAR($A830)*12+MONTH($A830))</f>
        <v/>
      </c>
    </row>
    <row r="831">
      <c r="A831" s="16" t="n"/>
      <c r="B831" s="17" t="n"/>
      <c r="C831" s="17" t="n"/>
      <c r="D831" s="18" t="n"/>
      <c r="E831" s="18" t="n"/>
      <c r="F831" s="17" t="n"/>
      <c r="G831" s="19" t="n"/>
      <c r="H831" s="20">
        <f>IF($A831="","",MONTH($A831)&amp;"/"&amp;YEAR($A831))</f>
        <v/>
      </c>
      <c r="I831" s="21">
        <f>IF($A831="",0,YEAR($A831)*12+MONTH($A831))</f>
        <v/>
      </c>
    </row>
    <row r="832">
      <c r="A832" s="16" t="n"/>
      <c r="B832" s="17" t="n"/>
      <c r="C832" s="17" t="n"/>
      <c r="D832" s="18" t="n"/>
      <c r="E832" s="18" t="n"/>
      <c r="F832" s="17" t="n"/>
      <c r="G832" s="19" t="n"/>
      <c r="H832" s="20">
        <f>IF($A832="","",MONTH($A832)&amp;"/"&amp;YEAR($A832))</f>
        <v/>
      </c>
      <c r="I832" s="21">
        <f>IF($A832="",0,YEAR($A832)*12+MONTH($A832))</f>
        <v/>
      </c>
    </row>
    <row r="833">
      <c r="A833" s="16" t="n"/>
      <c r="B833" s="17" t="n"/>
      <c r="C833" s="17" t="n"/>
      <c r="D833" s="18" t="n"/>
      <c r="E833" s="18" t="n"/>
      <c r="F833" s="17" t="n"/>
      <c r="G833" s="19" t="n"/>
      <c r="H833" s="20">
        <f>IF($A833="","",MONTH($A833)&amp;"/"&amp;YEAR($A833))</f>
        <v/>
      </c>
      <c r="I833" s="21">
        <f>IF($A833="",0,YEAR($A833)*12+MONTH($A833))</f>
        <v/>
      </c>
    </row>
    <row r="834">
      <c r="A834" s="16" t="n"/>
      <c r="B834" s="17" t="n"/>
      <c r="C834" s="17" t="n"/>
      <c r="D834" s="18" t="n"/>
      <c r="E834" s="18" t="n"/>
      <c r="F834" s="17" t="n"/>
      <c r="G834" s="19" t="n"/>
      <c r="H834" s="20">
        <f>IF($A834="","",MONTH($A834)&amp;"/"&amp;YEAR($A834))</f>
        <v/>
      </c>
      <c r="I834" s="21">
        <f>IF($A834="",0,YEAR($A834)*12+MONTH($A834))</f>
        <v/>
      </c>
    </row>
    <row r="835">
      <c r="A835" s="16" t="n"/>
      <c r="B835" s="17" t="n"/>
      <c r="C835" s="17" t="n"/>
      <c r="D835" s="18" t="n"/>
      <c r="E835" s="18" t="n"/>
      <c r="F835" s="17" t="n"/>
      <c r="G835" s="19" t="n"/>
      <c r="H835" s="20">
        <f>IF($A835="","",MONTH($A835)&amp;"/"&amp;YEAR($A835))</f>
        <v/>
      </c>
      <c r="I835" s="21">
        <f>IF($A835="",0,YEAR($A835)*12+MONTH($A835))</f>
        <v/>
      </c>
    </row>
    <row r="836">
      <c r="A836" s="16" t="n"/>
      <c r="B836" s="17" t="n"/>
      <c r="C836" s="17" t="n"/>
      <c r="D836" s="18" t="n"/>
      <c r="E836" s="18" t="n"/>
      <c r="F836" s="17" t="n"/>
      <c r="G836" s="19" t="n"/>
      <c r="H836" s="20">
        <f>IF($A836="","",MONTH($A836)&amp;"/"&amp;YEAR($A836))</f>
        <v/>
      </c>
      <c r="I836" s="21">
        <f>IF($A836="",0,YEAR($A836)*12+MONTH($A836))</f>
        <v/>
      </c>
    </row>
    <row r="837">
      <c r="A837" s="16" t="n"/>
      <c r="B837" s="17" t="n"/>
      <c r="C837" s="17" t="n"/>
      <c r="D837" s="18" t="n"/>
      <c r="E837" s="18" t="n"/>
      <c r="F837" s="17" t="n"/>
      <c r="G837" s="19" t="n"/>
      <c r="H837" s="20">
        <f>IF($A837="","",MONTH($A837)&amp;"/"&amp;YEAR($A837))</f>
        <v/>
      </c>
      <c r="I837" s="21">
        <f>IF($A837="",0,YEAR($A837)*12+MONTH($A837))</f>
        <v/>
      </c>
    </row>
    <row r="838">
      <c r="A838" s="16" t="n"/>
      <c r="B838" s="17" t="n"/>
      <c r="C838" s="17" t="n"/>
      <c r="D838" s="18" t="n"/>
      <c r="E838" s="18" t="n"/>
      <c r="F838" s="17" t="n"/>
      <c r="G838" s="19" t="n"/>
      <c r="H838" s="20">
        <f>IF($A838="","",MONTH($A838)&amp;"/"&amp;YEAR($A838))</f>
        <v/>
      </c>
      <c r="I838" s="21">
        <f>IF($A838="",0,YEAR($A838)*12+MONTH($A838))</f>
        <v/>
      </c>
    </row>
    <row r="839">
      <c r="A839" s="16" t="n"/>
      <c r="B839" s="17" t="n"/>
      <c r="C839" s="17" t="n"/>
      <c r="D839" s="18" t="n"/>
      <c r="E839" s="18" t="n"/>
      <c r="F839" s="17" t="n"/>
      <c r="G839" s="19" t="n"/>
      <c r="H839" s="20">
        <f>IF($A839="","",MONTH($A839)&amp;"/"&amp;YEAR($A839))</f>
        <v/>
      </c>
      <c r="I839" s="21">
        <f>IF($A839="",0,YEAR($A839)*12+MONTH($A839))</f>
        <v/>
      </c>
    </row>
    <row r="840">
      <c r="A840" s="16" t="n"/>
      <c r="B840" s="17" t="n"/>
      <c r="C840" s="17" t="n"/>
      <c r="D840" s="18" t="n"/>
      <c r="E840" s="18" t="n"/>
      <c r="F840" s="17" t="n"/>
      <c r="G840" s="19" t="n"/>
      <c r="H840" s="20">
        <f>IF($A840="","",MONTH($A840)&amp;"/"&amp;YEAR($A840))</f>
        <v/>
      </c>
      <c r="I840" s="21">
        <f>IF($A840="",0,YEAR($A840)*12+MONTH($A840))</f>
        <v/>
      </c>
    </row>
    <row r="841">
      <c r="A841" s="16" t="n"/>
      <c r="B841" s="17" t="n"/>
      <c r="C841" s="17" t="n"/>
      <c r="D841" s="18" t="n"/>
      <c r="E841" s="18" t="n"/>
      <c r="F841" s="17" t="n"/>
      <c r="G841" s="19" t="n"/>
      <c r="H841" s="20">
        <f>IF($A841="","",MONTH($A841)&amp;"/"&amp;YEAR($A841))</f>
        <v/>
      </c>
      <c r="I841" s="21">
        <f>IF($A841="",0,YEAR($A841)*12+MONTH($A841))</f>
        <v/>
      </c>
    </row>
    <row r="842">
      <c r="A842" s="16" t="n"/>
      <c r="B842" s="17" t="n"/>
      <c r="C842" s="17" t="n"/>
      <c r="D842" s="18" t="n"/>
      <c r="E842" s="18" t="n"/>
      <c r="F842" s="17" t="n"/>
      <c r="G842" s="19" t="n"/>
      <c r="H842" s="20">
        <f>IF($A842="","",MONTH($A842)&amp;"/"&amp;YEAR($A842))</f>
        <v/>
      </c>
      <c r="I842" s="21">
        <f>IF($A842="",0,YEAR($A842)*12+MONTH($A842))</f>
        <v/>
      </c>
    </row>
    <row r="843">
      <c r="A843" s="16" t="n"/>
      <c r="B843" s="17" t="n"/>
      <c r="C843" s="17" t="n"/>
      <c r="D843" s="18" t="n"/>
      <c r="E843" s="18" t="n"/>
      <c r="F843" s="17" t="n"/>
      <c r="G843" s="19" t="n"/>
      <c r="H843" s="20">
        <f>IF($A843="","",MONTH($A843)&amp;"/"&amp;YEAR($A843))</f>
        <v/>
      </c>
      <c r="I843" s="21">
        <f>IF($A843="",0,YEAR($A843)*12+MONTH($A843))</f>
        <v/>
      </c>
    </row>
    <row r="844">
      <c r="A844" s="16" t="n"/>
      <c r="B844" s="17" t="n"/>
      <c r="C844" s="17" t="n"/>
      <c r="D844" s="18" t="n"/>
      <c r="E844" s="18" t="n"/>
      <c r="F844" s="17" t="n"/>
      <c r="G844" s="19" t="n"/>
      <c r="H844" s="20">
        <f>IF($A844="","",MONTH($A844)&amp;"/"&amp;YEAR($A844))</f>
        <v/>
      </c>
      <c r="I844" s="21">
        <f>IF($A844="",0,YEAR($A844)*12+MONTH($A844))</f>
        <v/>
      </c>
    </row>
    <row r="845">
      <c r="A845" s="16" t="n"/>
      <c r="B845" s="17" t="n"/>
      <c r="C845" s="17" t="n"/>
      <c r="D845" s="18" t="n"/>
      <c r="E845" s="18" t="n"/>
      <c r="F845" s="17" t="n"/>
      <c r="G845" s="19" t="n"/>
      <c r="H845" s="20">
        <f>IF($A845="","",MONTH($A845)&amp;"/"&amp;YEAR($A845))</f>
        <v/>
      </c>
      <c r="I845" s="21">
        <f>IF($A845="",0,YEAR($A845)*12+MONTH($A845))</f>
        <v/>
      </c>
    </row>
    <row r="846">
      <c r="A846" s="16" t="n"/>
      <c r="B846" s="17" t="n"/>
      <c r="C846" s="17" t="n"/>
      <c r="D846" s="18" t="n"/>
      <c r="E846" s="18" t="n"/>
      <c r="F846" s="17" t="n"/>
      <c r="G846" s="19" t="n"/>
      <c r="H846" s="20">
        <f>IF($A846="","",MONTH($A846)&amp;"/"&amp;YEAR($A846))</f>
        <v/>
      </c>
      <c r="I846" s="21">
        <f>IF($A846="",0,YEAR($A846)*12+MONTH($A846))</f>
        <v/>
      </c>
    </row>
    <row r="847">
      <c r="A847" s="16" t="n"/>
      <c r="B847" s="17" t="n"/>
      <c r="C847" s="17" t="n"/>
      <c r="D847" s="18" t="n"/>
      <c r="E847" s="18" t="n"/>
      <c r="F847" s="17" t="n"/>
      <c r="G847" s="19" t="n"/>
      <c r="H847" s="20">
        <f>IF($A847="","",MONTH($A847)&amp;"/"&amp;YEAR($A847))</f>
        <v/>
      </c>
      <c r="I847" s="21">
        <f>IF($A847="",0,YEAR($A847)*12+MONTH($A847))</f>
        <v/>
      </c>
    </row>
    <row r="848">
      <c r="A848" s="16" t="n"/>
      <c r="B848" s="17" t="n"/>
      <c r="C848" s="17" t="n"/>
      <c r="D848" s="18" t="n"/>
      <c r="E848" s="18" t="n"/>
      <c r="F848" s="17" t="n"/>
      <c r="G848" s="19" t="n"/>
      <c r="H848" s="20">
        <f>IF($A848="","",MONTH($A848)&amp;"/"&amp;YEAR($A848))</f>
        <v/>
      </c>
      <c r="I848" s="21">
        <f>IF($A848="",0,YEAR($A848)*12+MONTH($A848))</f>
        <v/>
      </c>
    </row>
    <row r="849">
      <c r="A849" s="16" t="n"/>
      <c r="B849" s="17" t="n"/>
      <c r="C849" s="17" t="n"/>
      <c r="D849" s="18" t="n"/>
      <c r="E849" s="18" t="n"/>
      <c r="F849" s="17" t="n"/>
      <c r="G849" s="19" t="n"/>
      <c r="H849" s="20">
        <f>IF($A849="","",MONTH($A849)&amp;"/"&amp;YEAR($A849))</f>
        <v/>
      </c>
      <c r="I849" s="21">
        <f>IF($A849="",0,YEAR($A849)*12+MONTH($A849))</f>
        <v/>
      </c>
    </row>
    <row r="850">
      <c r="A850" s="16" t="n"/>
      <c r="B850" s="17" t="n"/>
      <c r="C850" s="17" t="n"/>
      <c r="D850" s="18" t="n"/>
      <c r="E850" s="18" t="n"/>
      <c r="F850" s="17" t="n"/>
      <c r="G850" s="19" t="n"/>
      <c r="H850" s="20">
        <f>IF($A850="","",MONTH($A850)&amp;"/"&amp;YEAR($A850))</f>
        <v/>
      </c>
      <c r="I850" s="21">
        <f>IF($A850="",0,YEAR($A850)*12+MONTH($A850))</f>
        <v/>
      </c>
    </row>
    <row r="851">
      <c r="A851" s="16" t="n"/>
      <c r="B851" s="17" t="n"/>
      <c r="C851" s="17" t="n"/>
      <c r="D851" s="18" t="n"/>
      <c r="E851" s="18" t="n"/>
      <c r="F851" s="17" t="n"/>
      <c r="G851" s="19" t="n"/>
      <c r="H851" s="20">
        <f>IF($A851="","",MONTH($A851)&amp;"/"&amp;YEAR($A851))</f>
        <v/>
      </c>
      <c r="I851" s="21">
        <f>IF($A851="",0,YEAR($A851)*12+MONTH($A851))</f>
        <v/>
      </c>
    </row>
    <row r="852">
      <c r="A852" s="16" t="n"/>
      <c r="B852" s="17" t="n"/>
      <c r="C852" s="17" t="n"/>
      <c r="D852" s="18" t="n"/>
      <c r="E852" s="18" t="n"/>
      <c r="F852" s="17" t="n"/>
      <c r="G852" s="19" t="n"/>
      <c r="H852" s="20">
        <f>IF($A852="","",MONTH($A852)&amp;"/"&amp;YEAR($A852))</f>
        <v/>
      </c>
      <c r="I852" s="21">
        <f>IF($A852="",0,YEAR($A852)*12+MONTH($A852))</f>
        <v/>
      </c>
    </row>
    <row r="853">
      <c r="A853" s="16" t="n"/>
      <c r="B853" s="17" t="n"/>
      <c r="C853" s="17" t="n"/>
      <c r="D853" s="18" t="n"/>
      <c r="E853" s="18" t="n"/>
      <c r="F853" s="17" t="n"/>
      <c r="G853" s="19" t="n"/>
      <c r="H853" s="20">
        <f>IF($A853="","",MONTH($A853)&amp;"/"&amp;YEAR($A853))</f>
        <v/>
      </c>
      <c r="I853" s="21">
        <f>IF($A853="",0,YEAR($A853)*12+MONTH($A853))</f>
        <v/>
      </c>
    </row>
    <row r="854">
      <c r="A854" s="16" t="n"/>
      <c r="B854" s="17" t="n"/>
      <c r="C854" s="17" t="n"/>
      <c r="D854" s="18" t="n"/>
      <c r="E854" s="18" t="n"/>
      <c r="F854" s="17" t="n"/>
      <c r="G854" s="19" t="n"/>
      <c r="H854" s="20">
        <f>IF($A854="","",MONTH($A854)&amp;"/"&amp;YEAR($A854))</f>
        <v/>
      </c>
      <c r="I854" s="21">
        <f>IF($A854="",0,YEAR($A854)*12+MONTH($A854))</f>
        <v/>
      </c>
    </row>
    <row r="855">
      <c r="A855" s="16" t="n"/>
      <c r="B855" s="17" t="n"/>
      <c r="C855" s="17" t="n"/>
      <c r="D855" s="18" t="n"/>
      <c r="E855" s="18" t="n"/>
      <c r="F855" s="17" t="n"/>
      <c r="G855" s="19" t="n"/>
      <c r="H855" s="20">
        <f>IF($A855="","",MONTH($A855)&amp;"/"&amp;YEAR($A855))</f>
        <v/>
      </c>
      <c r="I855" s="21">
        <f>IF($A855="",0,YEAR($A855)*12+MONTH($A855))</f>
        <v/>
      </c>
    </row>
    <row r="856">
      <c r="A856" s="16" t="n"/>
      <c r="B856" s="17" t="n"/>
      <c r="C856" s="17" t="n"/>
      <c r="D856" s="18" t="n"/>
      <c r="E856" s="18" t="n"/>
      <c r="F856" s="17" t="n"/>
      <c r="G856" s="19" t="n"/>
      <c r="H856" s="20">
        <f>IF($A856="","",MONTH($A856)&amp;"/"&amp;YEAR($A856))</f>
        <v/>
      </c>
      <c r="I856" s="21">
        <f>IF($A856="",0,YEAR($A856)*12+MONTH($A856))</f>
        <v/>
      </c>
    </row>
    <row r="857">
      <c r="A857" s="16" t="n"/>
      <c r="B857" s="17" t="n"/>
      <c r="C857" s="17" t="n"/>
      <c r="D857" s="18" t="n"/>
      <c r="E857" s="18" t="n"/>
      <c r="F857" s="17" t="n"/>
      <c r="G857" s="19" t="n"/>
      <c r="H857" s="20">
        <f>IF($A857="","",MONTH($A857)&amp;"/"&amp;YEAR($A857))</f>
        <v/>
      </c>
      <c r="I857" s="21">
        <f>IF($A857="",0,YEAR($A857)*12+MONTH($A857))</f>
        <v/>
      </c>
    </row>
    <row r="858">
      <c r="A858" s="16" t="n"/>
      <c r="B858" s="17" t="n"/>
      <c r="C858" s="17" t="n"/>
      <c r="D858" s="18" t="n"/>
      <c r="E858" s="18" t="n"/>
      <c r="F858" s="17" t="n"/>
      <c r="G858" s="19" t="n"/>
      <c r="H858" s="20">
        <f>IF($A858="","",MONTH($A858)&amp;"/"&amp;YEAR($A858))</f>
        <v/>
      </c>
      <c r="I858" s="21">
        <f>IF($A858="",0,YEAR($A858)*12+MONTH($A858))</f>
        <v/>
      </c>
    </row>
    <row r="859">
      <c r="A859" s="16" t="n"/>
      <c r="B859" s="17" t="n"/>
      <c r="C859" s="17" t="n"/>
      <c r="D859" s="18" t="n"/>
      <c r="E859" s="18" t="n"/>
      <c r="F859" s="17" t="n"/>
      <c r="G859" s="19" t="n"/>
      <c r="H859" s="20">
        <f>IF($A859="","",MONTH($A859)&amp;"/"&amp;YEAR($A859))</f>
        <v/>
      </c>
      <c r="I859" s="21">
        <f>IF($A859="",0,YEAR($A859)*12+MONTH($A859))</f>
        <v/>
      </c>
    </row>
    <row r="860">
      <c r="A860" s="16" t="n"/>
      <c r="B860" s="17" t="n"/>
      <c r="C860" s="17" t="n"/>
      <c r="D860" s="18" t="n"/>
      <c r="E860" s="18" t="n"/>
      <c r="F860" s="17" t="n"/>
      <c r="G860" s="19" t="n"/>
      <c r="H860" s="20">
        <f>IF($A860="","",MONTH($A860)&amp;"/"&amp;YEAR($A860))</f>
        <v/>
      </c>
      <c r="I860" s="21">
        <f>IF($A860="",0,YEAR($A860)*12+MONTH($A860))</f>
        <v/>
      </c>
    </row>
    <row r="861">
      <c r="A861" s="16" t="n"/>
      <c r="B861" s="17" t="n"/>
      <c r="C861" s="17" t="n"/>
      <c r="D861" s="18" t="n"/>
      <c r="E861" s="18" t="n"/>
      <c r="F861" s="17" t="n"/>
      <c r="G861" s="19" t="n"/>
      <c r="H861" s="20">
        <f>IF($A861="","",MONTH($A861)&amp;"/"&amp;YEAR($A861))</f>
        <v/>
      </c>
      <c r="I861" s="21">
        <f>IF($A861="",0,YEAR($A861)*12+MONTH($A861))</f>
        <v/>
      </c>
    </row>
    <row r="862">
      <c r="A862" s="16" t="n"/>
      <c r="B862" s="17" t="n"/>
      <c r="C862" s="17" t="n"/>
      <c r="D862" s="18" t="n"/>
      <c r="E862" s="18" t="n"/>
      <c r="F862" s="17" t="n"/>
      <c r="G862" s="19" t="n"/>
      <c r="H862" s="20">
        <f>IF($A862="","",MONTH($A862)&amp;"/"&amp;YEAR($A862))</f>
        <v/>
      </c>
      <c r="I862" s="21">
        <f>IF($A862="",0,YEAR($A862)*12+MONTH($A862))</f>
        <v/>
      </c>
    </row>
    <row r="863">
      <c r="A863" s="16" t="n"/>
      <c r="B863" s="17" t="n"/>
      <c r="C863" s="17" t="n"/>
      <c r="D863" s="18" t="n"/>
      <c r="E863" s="18" t="n"/>
      <c r="F863" s="17" t="n"/>
      <c r="G863" s="19" t="n"/>
      <c r="H863" s="20">
        <f>IF($A863="","",MONTH($A863)&amp;"/"&amp;YEAR($A863))</f>
        <v/>
      </c>
      <c r="I863" s="21">
        <f>IF($A863="",0,YEAR($A863)*12+MONTH($A863))</f>
        <v/>
      </c>
    </row>
    <row r="864">
      <c r="A864" s="16" t="n"/>
      <c r="B864" s="17" t="n"/>
      <c r="C864" s="17" t="n"/>
      <c r="D864" s="18" t="n"/>
      <c r="E864" s="18" t="n"/>
      <c r="F864" s="17" t="n"/>
      <c r="G864" s="19" t="n"/>
      <c r="H864" s="20">
        <f>IF($A864="","",MONTH($A864)&amp;"/"&amp;YEAR($A864))</f>
        <v/>
      </c>
      <c r="I864" s="21">
        <f>IF($A864="",0,YEAR($A864)*12+MONTH($A864))</f>
        <v/>
      </c>
    </row>
    <row r="865">
      <c r="A865" s="16" t="n"/>
      <c r="B865" s="17" t="n"/>
      <c r="C865" s="17" t="n"/>
      <c r="D865" s="18" t="n"/>
      <c r="E865" s="18" t="n"/>
      <c r="F865" s="17" t="n"/>
      <c r="G865" s="19" t="n"/>
      <c r="H865" s="20">
        <f>IF($A865="","",MONTH($A865)&amp;"/"&amp;YEAR($A865))</f>
        <v/>
      </c>
      <c r="I865" s="21">
        <f>IF($A865="",0,YEAR($A865)*12+MONTH($A865))</f>
        <v/>
      </c>
    </row>
    <row r="866">
      <c r="A866" s="16" t="n"/>
      <c r="B866" s="17" t="n"/>
      <c r="C866" s="17" t="n"/>
      <c r="D866" s="18" t="n"/>
      <c r="E866" s="18" t="n"/>
      <c r="F866" s="17" t="n"/>
      <c r="G866" s="19" t="n"/>
      <c r="H866" s="20">
        <f>IF($A866="","",MONTH($A866)&amp;"/"&amp;YEAR($A866))</f>
        <v/>
      </c>
      <c r="I866" s="21">
        <f>IF($A866="",0,YEAR($A866)*12+MONTH($A866))</f>
        <v/>
      </c>
    </row>
    <row r="867">
      <c r="A867" s="16" t="n"/>
      <c r="B867" s="17" t="n"/>
      <c r="C867" s="17" t="n"/>
      <c r="D867" s="18" t="n"/>
      <c r="E867" s="18" t="n"/>
      <c r="F867" s="17" t="n"/>
      <c r="G867" s="19" t="n"/>
      <c r="H867" s="20">
        <f>IF($A867="","",MONTH($A867)&amp;"/"&amp;YEAR($A867))</f>
        <v/>
      </c>
      <c r="I867" s="21">
        <f>IF($A867="",0,YEAR($A867)*12+MONTH($A867))</f>
        <v/>
      </c>
    </row>
    <row r="868">
      <c r="A868" s="16" t="n"/>
      <c r="B868" s="17" t="n"/>
      <c r="C868" s="17" t="n"/>
      <c r="D868" s="18" t="n"/>
      <c r="E868" s="18" t="n"/>
      <c r="F868" s="17" t="n"/>
      <c r="G868" s="19" t="n"/>
      <c r="H868" s="20">
        <f>IF($A868="","",MONTH($A868)&amp;"/"&amp;YEAR($A868))</f>
        <v/>
      </c>
      <c r="I868" s="21">
        <f>IF($A868="",0,YEAR($A868)*12+MONTH($A868))</f>
        <v/>
      </c>
    </row>
    <row r="869">
      <c r="A869" s="16" t="n"/>
      <c r="B869" s="17" t="n"/>
      <c r="C869" s="17" t="n"/>
      <c r="D869" s="18" t="n"/>
      <c r="E869" s="18" t="n"/>
      <c r="F869" s="17" t="n"/>
      <c r="G869" s="19" t="n"/>
      <c r="H869" s="20">
        <f>IF($A869="","",MONTH($A869)&amp;"/"&amp;YEAR($A869))</f>
        <v/>
      </c>
      <c r="I869" s="21">
        <f>IF($A869="",0,YEAR($A869)*12+MONTH($A869))</f>
        <v/>
      </c>
    </row>
    <row r="870">
      <c r="A870" s="16" t="n"/>
      <c r="B870" s="17" t="n"/>
      <c r="C870" s="17" t="n"/>
      <c r="D870" s="18" t="n"/>
      <c r="E870" s="18" t="n"/>
      <c r="F870" s="17" t="n"/>
      <c r="G870" s="19" t="n"/>
      <c r="H870" s="20">
        <f>IF($A870="","",MONTH($A870)&amp;"/"&amp;YEAR($A870))</f>
        <v/>
      </c>
      <c r="I870" s="21">
        <f>IF($A870="",0,YEAR($A870)*12+MONTH($A870))</f>
        <v/>
      </c>
    </row>
    <row r="871">
      <c r="A871" s="16" t="n"/>
      <c r="B871" s="17" t="n"/>
      <c r="C871" s="17" t="n"/>
      <c r="D871" s="18" t="n"/>
      <c r="E871" s="18" t="n"/>
      <c r="F871" s="17" t="n"/>
      <c r="G871" s="19" t="n"/>
      <c r="H871" s="20">
        <f>IF($A871="","",MONTH($A871)&amp;"/"&amp;YEAR($A871))</f>
        <v/>
      </c>
      <c r="I871" s="21">
        <f>IF($A871="",0,YEAR($A871)*12+MONTH($A871))</f>
        <v/>
      </c>
    </row>
    <row r="872">
      <c r="A872" s="16" t="n"/>
      <c r="B872" s="17" t="n"/>
      <c r="C872" s="17" t="n"/>
      <c r="D872" s="18" t="n"/>
      <c r="E872" s="18" t="n"/>
      <c r="F872" s="17" t="n"/>
      <c r="G872" s="19" t="n"/>
      <c r="H872" s="20">
        <f>IF($A872="","",MONTH($A872)&amp;"/"&amp;YEAR($A872))</f>
        <v/>
      </c>
      <c r="I872" s="21">
        <f>IF($A872="",0,YEAR($A872)*12+MONTH($A872))</f>
        <v/>
      </c>
    </row>
    <row r="873">
      <c r="A873" s="16" t="n"/>
      <c r="B873" s="17" t="n"/>
      <c r="C873" s="17" t="n"/>
      <c r="D873" s="18" t="n"/>
      <c r="E873" s="18" t="n"/>
      <c r="F873" s="17" t="n"/>
      <c r="G873" s="19" t="n"/>
      <c r="H873" s="20">
        <f>IF($A873="","",MONTH($A873)&amp;"/"&amp;YEAR($A873))</f>
        <v/>
      </c>
      <c r="I873" s="21">
        <f>IF($A873="",0,YEAR($A873)*12+MONTH($A873))</f>
        <v/>
      </c>
    </row>
    <row r="874">
      <c r="A874" s="16" t="n"/>
      <c r="B874" s="17" t="n"/>
      <c r="C874" s="17" t="n"/>
      <c r="D874" s="18" t="n"/>
      <c r="E874" s="18" t="n"/>
      <c r="F874" s="17" t="n"/>
      <c r="G874" s="19" t="n"/>
      <c r="H874" s="20">
        <f>IF($A874="","",MONTH($A874)&amp;"/"&amp;YEAR($A874))</f>
        <v/>
      </c>
      <c r="I874" s="21">
        <f>IF($A874="",0,YEAR($A874)*12+MONTH($A874))</f>
        <v/>
      </c>
    </row>
    <row r="875">
      <c r="A875" s="16" t="n"/>
      <c r="B875" s="17" t="n"/>
      <c r="C875" s="17" t="n"/>
      <c r="D875" s="18" t="n"/>
      <c r="E875" s="18" t="n"/>
      <c r="F875" s="17" t="n"/>
      <c r="G875" s="19" t="n"/>
      <c r="H875" s="20">
        <f>IF($A875="","",MONTH($A875)&amp;"/"&amp;YEAR($A875))</f>
        <v/>
      </c>
      <c r="I875" s="21">
        <f>IF($A875="",0,YEAR($A875)*12+MONTH($A875))</f>
        <v/>
      </c>
    </row>
    <row r="876">
      <c r="A876" s="16" t="n"/>
      <c r="B876" s="17" t="n"/>
      <c r="C876" s="17" t="n"/>
      <c r="D876" s="18" t="n"/>
      <c r="E876" s="18" t="n"/>
      <c r="F876" s="17" t="n"/>
      <c r="G876" s="19" t="n"/>
      <c r="H876" s="20">
        <f>IF($A876="","",MONTH($A876)&amp;"/"&amp;YEAR($A876))</f>
        <v/>
      </c>
      <c r="I876" s="21">
        <f>IF($A876="",0,YEAR($A876)*12+MONTH($A876))</f>
        <v/>
      </c>
    </row>
    <row r="877">
      <c r="A877" s="16" t="n"/>
      <c r="B877" s="17" t="n"/>
      <c r="C877" s="17" t="n"/>
      <c r="D877" s="18" t="n"/>
      <c r="E877" s="18" t="n"/>
      <c r="F877" s="17" t="n"/>
      <c r="G877" s="19" t="n"/>
      <c r="H877" s="20">
        <f>IF($A877="","",MONTH($A877)&amp;"/"&amp;YEAR($A877))</f>
        <v/>
      </c>
      <c r="I877" s="21">
        <f>IF($A877="",0,YEAR($A877)*12+MONTH($A877))</f>
        <v/>
      </c>
    </row>
    <row r="878">
      <c r="A878" s="16" t="n"/>
      <c r="B878" s="17" t="n"/>
      <c r="C878" s="17" t="n"/>
      <c r="D878" s="18" t="n"/>
      <c r="E878" s="18" t="n"/>
      <c r="F878" s="17" t="n"/>
      <c r="G878" s="19" t="n"/>
      <c r="H878" s="20">
        <f>IF($A878="","",MONTH($A878)&amp;"/"&amp;YEAR($A878))</f>
        <v/>
      </c>
      <c r="I878" s="21">
        <f>IF($A878="",0,YEAR($A878)*12+MONTH($A878))</f>
        <v/>
      </c>
    </row>
    <row r="879">
      <c r="A879" s="16" t="n"/>
      <c r="B879" s="17" t="n"/>
      <c r="C879" s="17" t="n"/>
      <c r="D879" s="18" t="n"/>
      <c r="E879" s="18" t="n"/>
      <c r="F879" s="17" t="n"/>
      <c r="G879" s="19" t="n"/>
      <c r="H879" s="20">
        <f>IF($A879="","",MONTH($A879)&amp;"/"&amp;YEAR($A879))</f>
        <v/>
      </c>
      <c r="I879" s="21">
        <f>IF($A879="",0,YEAR($A879)*12+MONTH($A879))</f>
        <v/>
      </c>
    </row>
    <row r="880">
      <c r="A880" s="16" t="n"/>
      <c r="B880" s="17" t="n"/>
      <c r="C880" s="17" t="n"/>
      <c r="D880" s="18" t="n"/>
      <c r="E880" s="18" t="n"/>
      <c r="F880" s="17" t="n"/>
      <c r="G880" s="19" t="n"/>
      <c r="H880" s="20">
        <f>IF($A880="","",MONTH($A880)&amp;"/"&amp;YEAR($A880))</f>
        <v/>
      </c>
      <c r="I880" s="21">
        <f>IF($A880="",0,YEAR($A880)*12+MONTH($A880))</f>
        <v/>
      </c>
    </row>
    <row r="881">
      <c r="A881" s="16" t="n"/>
      <c r="B881" s="17" t="n"/>
      <c r="C881" s="17" t="n"/>
      <c r="D881" s="18" t="n"/>
      <c r="E881" s="18" t="n"/>
      <c r="F881" s="17" t="n"/>
      <c r="G881" s="19" t="n"/>
      <c r="H881" s="20">
        <f>IF($A881="","",MONTH($A881)&amp;"/"&amp;YEAR($A881))</f>
        <v/>
      </c>
      <c r="I881" s="21">
        <f>IF($A881="",0,YEAR($A881)*12+MONTH($A881))</f>
        <v/>
      </c>
    </row>
    <row r="882">
      <c r="A882" s="16" t="n"/>
      <c r="B882" s="17" t="n"/>
      <c r="C882" s="17" t="n"/>
      <c r="D882" s="18" t="n"/>
      <c r="E882" s="18" t="n"/>
      <c r="F882" s="17" t="n"/>
      <c r="G882" s="19" t="n"/>
      <c r="H882" s="20">
        <f>IF($A882="","",MONTH($A882)&amp;"/"&amp;YEAR($A882))</f>
        <v/>
      </c>
      <c r="I882" s="21">
        <f>IF($A882="",0,YEAR($A882)*12+MONTH($A882))</f>
        <v/>
      </c>
    </row>
    <row r="883">
      <c r="A883" s="16" t="n"/>
      <c r="B883" s="17" t="n"/>
      <c r="C883" s="17" t="n"/>
      <c r="D883" s="18" t="n"/>
      <c r="E883" s="18" t="n"/>
      <c r="F883" s="17" t="n"/>
      <c r="G883" s="19" t="n"/>
      <c r="H883" s="20">
        <f>IF($A883="","",MONTH($A883)&amp;"/"&amp;YEAR($A883))</f>
        <v/>
      </c>
      <c r="I883" s="21">
        <f>IF($A883="",0,YEAR($A883)*12+MONTH($A883))</f>
        <v/>
      </c>
    </row>
    <row r="884">
      <c r="A884" s="16" t="n"/>
      <c r="B884" s="17" t="n"/>
      <c r="C884" s="17" t="n"/>
      <c r="D884" s="18" t="n"/>
      <c r="E884" s="18" t="n"/>
      <c r="F884" s="17" t="n"/>
      <c r="G884" s="19" t="n"/>
      <c r="H884" s="20">
        <f>IF($A884="","",MONTH($A884)&amp;"/"&amp;YEAR($A884))</f>
        <v/>
      </c>
      <c r="I884" s="21">
        <f>IF($A884="",0,YEAR($A884)*12+MONTH($A884))</f>
        <v/>
      </c>
    </row>
    <row r="885">
      <c r="A885" s="16" t="n"/>
      <c r="B885" s="17" t="n"/>
      <c r="C885" s="17" t="n"/>
      <c r="D885" s="18" t="n"/>
      <c r="E885" s="18" t="n"/>
      <c r="F885" s="17" t="n"/>
      <c r="G885" s="19" t="n"/>
      <c r="H885" s="20">
        <f>IF($A885="","",MONTH($A885)&amp;"/"&amp;YEAR($A885))</f>
        <v/>
      </c>
      <c r="I885" s="21">
        <f>IF($A885="",0,YEAR($A885)*12+MONTH($A885))</f>
        <v/>
      </c>
    </row>
    <row r="886">
      <c r="A886" s="16" t="n"/>
      <c r="B886" s="17" t="n"/>
      <c r="C886" s="17" t="n"/>
      <c r="D886" s="18" t="n"/>
      <c r="E886" s="18" t="n"/>
      <c r="F886" s="17" t="n"/>
      <c r="G886" s="19" t="n"/>
      <c r="H886" s="20">
        <f>IF($A886="","",MONTH($A886)&amp;"/"&amp;YEAR($A886))</f>
        <v/>
      </c>
      <c r="I886" s="21">
        <f>IF($A886="",0,YEAR($A886)*12+MONTH($A886))</f>
        <v/>
      </c>
    </row>
    <row r="887">
      <c r="A887" s="16" t="n"/>
      <c r="B887" s="17" t="n"/>
      <c r="C887" s="17" t="n"/>
      <c r="D887" s="18" t="n"/>
      <c r="E887" s="18" t="n"/>
      <c r="F887" s="17" t="n"/>
      <c r="G887" s="19" t="n"/>
      <c r="H887" s="20">
        <f>IF($A887="","",MONTH($A887)&amp;"/"&amp;YEAR($A887))</f>
        <v/>
      </c>
      <c r="I887" s="21">
        <f>IF($A887="",0,YEAR($A887)*12+MONTH($A887))</f>
        <v/>
      </c>
    </row>
    <row r="888">
      <c r="A888" s="16" t="n"/>
      <c r="B888" s="17" t="n"/>
      <c r="C888" s="17" t="n"/>
      <c r="D888" s="18" t="n"/>
      <c r="E888" s="18" t="n"/>
      <c r="F888" s="17" t="n"/>
      <c r="G888" s="19" t="n"/>
      <c r="H888" s="20">
        <f>IF($A888="","",MONTH($A888)&amp;"/"&amp;YEAR($A888))</f>
        <v/>
      </c>
      <c r="I888" s="21">
        <f>IF($A888="",0,YEAR($A888)*12+MONTH($A888))</f>
        <v/>
      </c>
    </row>
    <row r="889">
      <c r="A889" s="16" t="n"/>
      <c r="B889" s="17" t="n"/>
      <c r="C889" s="17" t="n"/>
      <c r="D889" s="18" t="n"/>
      <c r="E889" s="18" t="n"/>
      <c r="F889" s="17" t="n"/>
      <c r="G889" s="19" t="n"/>
      <c r="H889" s="20">
        <f>IF($A889="","",MONTH($A889)&amp;"/"&amp;YEAR($A889))</f>
        <v/>
      </c>
      <c r="I889" s="21">
        <f>IF($A889="",0,YEAR($A889)*12+MONTH($A889))</f>
        <v/>
      </c>
    </row>
    <row r="890">
      <c r="A890" s="16" t="n"/>
      <c r="B890" s="17" t="n"/>
      <c r="C890" s="17" t="n"/>
      <c r="D890" s="18" t="n"/>
      <c r="E890" s="18" t="n"/>
      <c r="F890" s="17" t="n"/>
      <c r="G890" s="19" t="n"/>
      <c r="H890" s="20">
        <f>IF($A890="","",MONTH($A890)&amp;"/"&amp;YEAR($A890))</f>
        <v/>
      </c>
      <c r="I890" s="21">
        <f>IF($A890="",0,YEAR($A890)*12+MONTH($A890))</f>
        <v/>
      </c>
    </row>
    <row r="891">
      <c r="A891" s="16" t="n"/>
      <c r="B891" s="17" t="n"/>
      <c r="C891" s="17" t="n"/>
      <c r="D891" s="18" t="n"/>
      <c r="E891" s="18" t="n"/>
      <c r="F891" s="17" t="n"/>
      <c r="G891" s="19" t="n"/>
      <c r="H891" s="20">
        <f>IF($A891="","",MONTH($A891)&amp;"/"&amp;YEAR($A891))</f>
        <v/>
      </c>
      <c r="I891" s="21">
        <f>IF($A891="",0,YEAR($A891)*12+MONTH($A891))</f>
        <v/>
      </c>
    </row>
    <row r="892">
      <c r="A892" s="16" t="n"/>
      <c r="B892" s="17" t="n"/>
      <c r="C892" s="17" t="n"/>
      <c r="D892" s="18" t="n"/>
      <c r="E892" s="18" t="n"/>
      <c r="F892" s="17" t="n"/>
      <c r="G892" s="19" t="n"/>
      <c r="H892" s="20">
        <f>IF($A892="","",MONTH($A892)&amp;"/"&amp;YEAR($A892))</f>
        <v/>
      </c>
      <c r="I892" s="21">
        <f>IF($A892="",0,YEAR($A892)*12+MONTH($A892))</f>
        <v/>
      </c>
    </row>
    <row r="893">
      <c r="A893" s="16" t="n"/>
      <c r="B893" s="17" t="n"/>
      <c r="C893" s="17" t="n"/>
      <c r="D893" s="18" t="n"/>
      <c r="E893" s="18" t="n"/>
      <c r="F893" s="17" t="n"/>
      <c r="G893" s="19" t="n"/>
      <c r="H893" s="20">
        <f>IF($A893="","",MONTH($A893)&amp;"/"&amp;YEAR($A893))</f>
        <v/>
      </c>
      <c r="I893" s="21">
        <f>IF($A893="",0,YEAR($A893)*12+MONTH($A893))</f>
        <v/>
      </c>
    </row>
    <row r="894">
      <c r="A894" s="16" t="n"/>
      <c r="B894" s="17" t="n"/>
      <c r="C894" s="17" t="n"/>
      <c r="D894" s="18" t="n"/>
      <c r="E894" s="18" t="n"/>
      <c r="F894" s="17" t="n"/>
      <c r="G894" s="19" t="n"/>
      <c r="H894" s="20">
        <f>IF($A894="","",MONTH($A894)&amp;"/"&amp;YEAR($A894))</f>
        <v/>
      </c>
      <c r="I894" s="21">
        <f>IF($A894="",0,YEAR($A894)*12+MONTH($A894))</f>
        <v/>
      </c>
    </row>
    <row r="895">
      <c r="A895" s="16" t="n"/>
      <c r="B895" s="17" t="n"/>
      <c r="C895" s="17" t="n"/>
      <c r="D895" s="18" t="n"/>
      <c r="E895" s="18" t="n"/>
      <c r="F895" s="17" t="n"/>
      <c r="G895" s="19" t="n"/>
      <c r="H895" s="20">
        <f>IF($A895="","",MONTH($A895)&amp;"/"&amp;YEAR($A895))</f>
        <v/>
      </c>
      <c r="I895" s="21">
        <f>IF($A895="",0,YEAR($A895)*12+MONTH($A895))</f>
        <v/>
      </c>
    </row>
    <row r="896">
      <c r="A896" s="16" t="n"/>
      <c r="B896" s="17" t="n"/>
      <c r="C896" s="17" t="n"/>
      <c r="D896" s="18" t="n"/>
      <c r="E896" s="18" t="n"/>
      <c r="F896" s="17" t="n"/>
      <c r="G896" s="19" t="n"/>
      <c r="H896" s="20">
        <f>IF($A896="","",MONTH($A896)&amp;"/"&amp;YEAR($A896))</f>
        <v/>
      </c>
      <c r="I896" s="21">
        <f>IF($A896="",0,YEAR($A896)*12+MONTH($A896))</f>
        <v/>
      </c>
    </row>
    <row r="897">
      <c r="A897" s="16" t="n"/>
      <c r="B897" s="17" t="n"/>
      <c r="C897" s="17" t="n"/>
      <c r="D897" s="18" t="n"/>
      <c r="E897" s="18" t="n"/>
      <c r="F897" s="17" t="n"/>
      <c r="G897" s="19" t="n"/>
      <c r="H897" s="20">
        <f>IF($A897="","",MONTH($A897)&amp;"/"&amp;YEAR($A897))</f>
        <v/>
      </c>
      <c r="I897" s="21">
        <f>IF($A897="",0,YEAR($A897)*12+MONTH($A897))</f>
        <v/>
      </c>
    </row>
    <row r="898">
      <c r="A898" s="16" t="n"/>
      <c r="B898" s="17" t="n"/>
      <c r="C898" s="17" t="n"/>
      <c r="D898" s="18" t="n"/>
      <c r="E898" s="18" t="n"/>
      <c r="F898" s="17" t="n"/>
      <c r="G898" s="19" t="n"/>
      <c r="H898" s="20">
        <f>IF($A898="","",MONTH($A898)&amp;"/"&amp;YEAR($A898))</f>
        <v/>
      </c>
      <c r="I898" s="21">
        <f>IF($A898="",0,YEAR($A898)*12+MONTH($A898))</f>
        <v/>
      </c>
    </row>
    <row r="899">
      <c r="A899" s="16" t="n"/>
      <c r="B899" s="17" t="n"/>
      <c r="C899" s="17" t="n"/>
      <c r="D899" s="18" t="n"/>
      <c r="E899" s="18" t="n"/>
      <c r="F899" s="17" t="n"/>
      <c r="G899" s="19" t="n"/>
      <c r="H899" s="20">
        <f>IF($A899="","",MONTH($A899)&amp;"/"&amp;YEAR($A899))</f>
        <v/>
      </c>
      <c r="I899" s="21">
        <f>IF($A899="",0,YEAR($A899)*12+MONTH($A899))</f>
        <v/>
      </c>
    </row>
    <row r="900">
      <c r="A900" s="16" t="n"/>
      <c r="B900" s="17" t="n"/>
      <c r="C900" s="17" t="n"/>
      <c r="D900" s="18" t="n"/>
      <c r="E900" s="18" t="n"/>
      <c r="F900" s="17" t="n"/>
      <c r="G900" s="19" t="n"/>
      <c r="H900" s="20">
        <f>IF($A900="","",MONTH($A900)&amp;"/"&amp;YEAR($A900))</f>
        <v/>
      </c>
      <c r="I900" s="21">
        <f>IF($A900="",0,YEAR($A900)*12+MONTH($A900))</f>
        <v/>
      </c>
    </row>
    <row r="901">
      <c r="A901" s="16" t="n"/>
      <c r="B901" s="17" t="n"/>
      <c r="C901" s="17" t="n"/>
      <c r="D901" s="18" t="n"/>
      <c r="E901" s="18" t="n"/>
      <c r="F901" s="17" t="n"/>
      <c r="G901" s="19" t="n"/>
      <c r="H901" s="20">
        <f>IF($A901="","",MONTH($A901)&amp;"/"&amp;YEAR($A901))</f>
        <v/>
      </c>
      <c r="I901" s="21">
        <f>IF($A901="",0,YEAR($A901)*12+MONTH($A901))</f>
        <v/>
      </c>
    </row>
    <row r="902">
      <c r="A902" s="16" t="n"/>
      <c r="B902" s="17" t="n"/>
      <c r="C902" s="17" t="n"/>
      <c r="D902" s="18" t="n"/>
      <c r="E902" s="18" t="n"/>
      <c r="F902" s="17" t="n"/>
      <c r="G902" s="19" t="n"/>
      <c r="H902" s="20">
        <f>IF($A902="","",MONTH($A902)&amp;"/"&amp;YEAR($A902))</f>
        <v/>
      </c>
      <c r="I902" s="21">
        <f>IF($A902="",0,YEAR($A902)*12+MONTH($A902))</f>
        <v/>
      </c>
    </row>
    <row r="903">
      <c r="A903" s="16" t="n"/>
      <c r="B903" s="17" t="n"/>
      <c r="C903" s="17" t="n"/>
      <c r="D903" s="18" t="n"/>
      <c r="E903" s="18" t="n"/>
      <c r="F903" s="17" t="n"/>
      <c r="G903" s="19" t="n"/>
      <c r="H903" s="20">
        <f>IF($A903="","",MONTH($A903)&amp;"/"&amp;YEAR($A903))</f>
        <v/>
      </c>
      <c r="I903" s="21">
        <f>IF($A903="",0,YEAR($A903)*12+MONTH($A903))</f>
        <v/>
      </c>
    </row>
    <row r="904">
      <c r="A904" s="16" t="n"/>
      <c r="B904" s="17" t="n"/>
      <c r="C904" s="17" t="n"/>
      <c r="D904" s="18" t="n"/>
      <c r="E904" s="18" t="n"/>
      <c r="F904" s="17" t="n"/>
      <c r="G904" s="19" t="n"/>
      <c r="H904" s="20">
        <f>IF($A904="","",MONTH($A904)&amp;"/"&amp;YEAR($A904))</f>
        <v/>
      </c>
      <c r="I904" s="21">
        <f>IF($A904="",0,YEAR($A904)*12+MONTH($A904))</f>
        <v/>
      </c>
    </row>
    <row r="905">
      <c r="A905" s="16" t="n"/>
      <c r="B905" s="17" t="n"/>
      <c r="C905" s="17" t="n"/>
      <c r="D905" s="18" t="n"/>
      <c r="E905" s="18" t="n"/>
      <c r="F905" s="17" t="n"/>
      <c r="G905" s="19" t="n"/>
      <c r="H905" s="20">
        <f>IF($A905="","",MONTH($A905)&amp;"/"&amp;YEAR($A905))</f>
        <v/>
      </c>
      <c r="I905" s="21">
        <f>IF($A905="",0,YEAR($A905)*12+MONTH($A905))</f>
        <v/>
      </c>
    </row>
    <row r="906">
      <c r="A906" s="16" t="n"/>
      <c r="B906" s="17" t="n"/>
      <c r="C906" s="17" t="n"/>
      <c r="D906" s="18" t="n"/>
      <c r="E906" s="18" t="n"/>
      <c r="F906" s="17" t="n"/>
      <c r="G906" s="19" t="n"/>
      <c r="H906" s="20">
        <f>IF($A906="","",MONTH($A906)&amp;"/"&amp;YEAR($A906))</f>
        <v/>
      </c>
      <c r="I906" s="21">
        <f>IF($A906="",0,YEAR($A906)*12+MONTH($A906))</f>
        <v/>
      </c>
    </row>
    <row r="907">
      <c r="A907" s="16" t="n"/>
      <c r="B907" s="17" t="n"/>
      <c r="C907" s="17" t="n"/>
      <c r="D907" s="18" t="n"/>
      <c r="E907" s="18" t="n"/>
      <c r="F907" s="17" t="n"/>
      <c r="G907" s="19" t="n"/>
      <c r="H907" s="20">
        <f>IF($A907="","",MONTH($A907)&amp;"/"&amp;YEAR($A907))</f>
        <v/>
      </c>
      <c r="I907" s="21">
        <f>IF($A907="",0,YEAR($A907)*12+MONTH($A907))</f>
        <v/>
      </c>
    </row>
    <row r="908">
      <c r="A908" s="16" t="n"/>
      <c r="B908" s="17" t="n"/>
      <c r="C908" s="17" t="n"/>
      <c r="D908" s="18" t="n"/>
      <c r="E908" s="18" t="n"/>
      <c r="F908" s="17" t="n"/>
      <c r="G908" s="19" t="n"/>
      <c r="H908" s="20">
        <f>IF($A908="","",MONTH($A908)&amp;"/"&amp;YEAR($A908))</f>
        <v/>
      </c>
      <c r="I908" s="21">
        <f>IF($A908="",0,YEAR($A908)*12+MONTH($A908))</f>
        <v/>
      </c>
    </row>
    <row r="909">
      <c r="A909" s="16" t="n"/>
      <c r="B909" s="17" t="n"/>
      <c r="C909" s="17" t="n"/>
      <c r="D909" s="18" t="n"/>
      <c r="E909" s="18" t="n"/>
      <c r="F909" s="17" t="n"/>
      <c r="G909" s="19" t="n"/>
      <c r="H909" s="20">
        <f>IF($A909="","",MONTH($A909)&amp;"/"&amp;YEAR($A909))</f>
        <v/>
      </c>
      <c r="I909" s="21">
        <f>IF($A909="",0,YEAR($A909)*12+MONTH($A909))</f>
        <v/>
      </c>
    </row>
    <row r="910">
      <c r="A910" s="16" t="n"/>
      <c r="B910" s="17" t="n"/>
      <c r="C910" s="17" t="n"/>
      <c r="D910" s="18" t="n"/>
      <c r="E910" s="18" t="n"/>
      <c r="F910" s="17" t="n"/>
      <c r="G910" s="19" t="n"/>
      <c r="H910" s="20">
        <f>IF($A910="","",MONTH($A910)&amp;"/"&amp;YEAR($A910))</f>
        <v/>
      </c>
      <c r="I910" s="21">
        <f>IF($A910="",0,YEAR($A910)*12+MONTH($A910))</f>
        <v/>
      </c>
    </row>
    <row r="911">
      <c r="A911" s="16" t="n"/>
      <c r="B911" s="17" t="n"/>
      <c r="C911" s="17" t="n"/>
      <c r="D911" s="18" t="n"/>
      <c r="E911" s="18" t="n"/>
      <c r="F911" s="17" t="n"/>
      <c r="G911" s="19" t="n"/>
      <c r="H911" s="20">
        <f>IF($A911="","",MONTH($A911)&amp;"/"&amp;YEAR($A911))</f>
        <v/>
      </c>
      <c r="I911" s="21">
        <f>IF($A911="",0,YEAR($A911)*12+MONTH($A911))</f>
        <v/>
      </c>
    </row>
    <row r="912">
      <c r="A912" s="16" t="n"/>
      <c r="B912" s="17" t="n"/>
      <c r="C912" s="17" t="n"/>
      <c r="D912" s="18" t="n"/>
      <c r="E912" s="18" t="n"/>
      <c r="F912" s="17" t="n"/>
      <c r="G912" s="19" t="n"/>
      <c r="H912" s="20">
        <f>IF($A912="","",MONTH($A912)&amp;"/"&amp;YEAR($A912))</f>
        <v/>
      </c>
      <c r="I912" s="21">
        <f>IF($A912="",0,YEAR($A912)*12+MONTH($A912))</f>
        <v/>
      </c>
    </row>
    <row r="913">
      <c r="A913" s="16" t="n"/>
      <c r="B913" s="17" t="n"/>
      <c r="C913" s="17" t="n"/>
      <c r="D913" s="18" t="n"/>
      <c r="E913" s="18" t="n"/>
      <c r="F913" s="17" t="n"/>
      <c r="G913" s="19" t="n"/>
      <c r="H913" s="20">
        <f>IF($A913="","",MONTH($A913)&amp;"/"&amp;YEAR($A913))</f>
        <v/>
      </c>
      <c r="I913" s="21">
        <f>IF($A913="",0,YEAR($A913)*12+MONTH($A913))</f>
        <v/>
      </c>
    </row>
    <row r="914">
      <c r="A914" s="16" t="n"/>
      <c r="B914" s="17" t="n"/>
      <c r="C914" s="17" t="n"/>
      <c r="D914" s="18" t="n"/>
      <c r="E914" s="18" t="n"/>
      <c r="F914" s="17" t="n"/>
      <c r="G914" s="19" t="n"/>
      <c r="H914" s="20">
        <f>IF($A914="","",MONTH($A914)&amp;"/"&amp;YEAR($A914))</f>
        <v/>
      </c>
      <c r="I914" s="21">
        <f>IF($A914="",0,YEAR($A914)*12+MONTH($A914))</f>
        <v/>
      </c>
    </row>
    <row r="915">
      <c r="A915" s="16" t="n"/>
      <c r="B915" s="17" t="n"/>
      <c r="C915" s="17" t="n"/>
      <c r="D915" s="18" t="n"/>
      <c r="E915" s="18" t="n"/>
      <c r="F915" s="17" t="n"/>
      <c r="G915" s="19" t="n"/>
      <c r="H915" s="20">
        <f>IF($A915="","",MONTH($A915)&amp;"/"&amp;YEAR($A915))</f>
        <v/>
      </c>
      <c r="I915" s="21">
        <f>IF($A915="",0,YEAR($A915)*12+MONTH($A915))</f>
        <v/>
      </c>
    </row>
    <row r="916">
      <c r="A916" s="16" t="n"/>
      <c r="B916" s="17" t="n"/>
      <c r="C916" s="17" t="n"/>
      <c r="D916" s="18" t="n"/>
      <c r="E916" s="18" t="n"/>
      <c r="F916" s="17" t="n"/>
      <c r="G916" s="19" t="n"/>
      <c r="H916" s="20">
        <f>IF($A916="","",MONTH($A916)&amp;"/"&amp;YEAR($A916))</f>
        <v/>
      </c>
      <c r="I916" s="21">
        <f>IF($A916="",0,YEAR($A916)*12+MONTH($A916))</f>
        <v/>
      </c>
    </row>
    <row r="917">
      <c r="A917" s="16" t="n"/>
      <c r="B917" s="17" t="n"/>
      <c r="C917" s="17" t="n"/>
      <c r="D917" s="18" t="n"/>
      <c r="E917" s="18" t="n"/>
      <c r="F917" s="17" t="n"/>
      <c r="G917" s="19" t="n"/>
      <c r="H917" s="20">
        <f>IF($A917="","",MONTH($A917)&amp;"/"&amp;YEAR($A917))</f>
        <v/>
      </c>
      <c r="I917" s="21">
        <f>IF($A917="",0,YEAR($A917)*12+MONTH($A917))</f>
        <v/>
      </c>
    </row>
    <row r="918">
      <c r="A918" s="16" t="n"/>
      <c r="B918" s="17" t="n"/>
      <c r="C918" s="17" t="n"/>
      <c r="D918" s="18" t="n"/>
      <c r="E918" s="18" t="n"/>
      <c r="F918" s="17" t="n"/>
      <c r="G918" s="19" t="n"/>
      <c r="H918" s="20">
        <f>IF($A918="","",MONTH($A918)&amp;"/"&amp;YEAR($A918))</f>
        <v/>
      </c>
      <c r="I918" s="21">
        <f>IF($A918="",0,YEAR($A918)*12+MONTH($A918))</f>
        <v/>
      </c>
    </row>
    <row r="919">
      <c r="A919" s="16" t="n"/>
      <c r="B919" s="17" t="n"/>
      <c r="C919" s="17" t="n"/>
      <c r="D919" s="18" t="n"/>
      <c r="E919" s="18" t="n"/>
      <c r="F919" s="17" t="n"/>
      <c r="G919" s="19" t="n"/>
      <c r="H919" s="20">
        <f>IF($A919="","",MONTH($A919)&amp;"/"&amp;YEAR($A919))</f>
        <v/>
      </c>
      <c r="I919" s="21">
        <f>IF($A919="",0,YEAR($A919)*12+MONTH($A919))</f>
        <v/>
      </c>
    </row>
    <row r="920">
      <c r="A920" s="16" t="n"/>
      <c r="B920" s="17" t="n"/>
      <c r="C920" s="17" t="n"/>
      <c r="D920" s="18" t="n"/>
      <c r="E920" s="18" t="n"/>
      <c r="F920" s="17" t="n"/>
      <c r="G920" s="19" t="n"/>
      <c r="H920" s="20">
        <f>IF($A920="","",MONTH($A920)&amp;"/"&amp;YEAR($A920))</f>
        <v/>
      </c>
      <c r="I920" s="21">
        <f>IF($A920="",0,YEAR($A920)*12+MONTH($A920))</f>
        <v/>
      </c>
    </row>
    <row r="921">
      <c r="A921" s="16" t="n"/>
      <c r="B921" s="17" t="n"/>
      <c r="C921" s="17" t="n"/>
      <c r="D921" s="18" t="n"/>
      <c r="E921" s="18" t="n"/>
      <c r="F921" s="17" t="n"/>
      <c r="G921" s="19" t="n"/>
      <c r="H921" s="20">
        <f>IF($A921="","",MONTH($A921)&amp;"/"&amp;YEAR($A921))</f>
        <v/>
      </c>
      <c r="I921" s="21">
        <f>IF($A921="",0,YEAR($A921)*12+MONTH($A921))</f>
        <v/>
      </c>
    </row>
    <row r="922">
      <c r="A922" s="16" t="n"/>
      <c r="B922" s="17" t="n"/>
      <c r="C922" s="17" t="n"/>
      <c r="D922" s="18" t="n"/>
      <c r="E922" s="18" t="n"/>
      <c r="F922" s="17" t="n"/>
      <c r="G922" s="19" t="n"/>
      <c r="H922" s="20">
        <f>IF($A922="","",MONTH($A922)&amp;"/"&amp;YEAR($A922))</f>
        <v/>
      </c>
      <c r="I922" s="21">
        <f>IF($A922="",0,YEAR($A922)*12+MONTH($A922))</f>
        <v/>
      </c>
    </row>
    <row r="923">
      <c r="A923" s="16" t="n"/>
      <c r="B923" s="17" t="n"/>
      <c r="C923" s="17" t="n"/>
      <c r="D923" s="18" t="n"/>
      <c r="E923" s="18" t="n"/>
      <c r="F923" s="17" t="n"/>
      <c r="G923" s="19" t="n"/>
      <c r="H923" s="20">
        <f>IF($A923="","",MONTH($A923)&amp;"/"&amp;YEAR($A923))</f>
        <v/>
      </c>
      <c r="I923" s="21">
        <f>IF($A923="",0,YEAR($A923)*12+MONTH($A923))</f>
        <v/>
      </c>
    </row>
    <row r="924">
      <c r="A924" s="16" t="n"/>
      <c r="B924" s="17" t="n"/>
      <c r="C924" s="17" t="n"/>
      <c r="D924" s="18" t="n"/>
      <c r="E924" s="18" t="n"/>
      <c r="F924" s="17" t="n"/>
      <c r="G924" s="19" t="n"/>
      <c r="H924" s="20">
        <f>IF($A924="","",MONTH($A924)&amp;"/"&amp;YEAR($A924))</f>
        <v/>
      </c>
      <c r="I924" s="21">
        <f>IF($A924="",0,YEAR($A924)*12+MONTH($A924))</f>
        <v/>
      </c>
    </row>
    <row r="925">
      <c r="A925" s="16" t="n"/>
      <c r="B925" s="17" t="n"/>
      <c r="C925" s="17" t="n"/>
      <c r="D925" s="18" t="n"/>
      <c r="E925" s="18" t="n"/>
      <c r="F925" s="17" t="n"/>
      <c r="G925" s="19" t="n"/>
      <c r="H925" s="20">
        <f>IF($A925="","",MONTH($A925)&amp;"/"&amp;YEAR($A925))</f>
        <v/>
      </c>
      <c r="I925" s="21">
        <f>IF($A925="",0,YEAR($A925)*12+MONTH($A925))</f>
        <v/>
      </c>
    </row>
    <row r="926">
      <c r="A926" s="16" t="n"/>
      <c r="B926" s="17" t="n"/>
      <c r="C926" s="17" t="n"/>
      <c r="D926" s="18" t="n"/>
      <c r="E926" s="18" t="n"/>
      <c r="F926" s="17" t="n"/>
      <c r="G926" s="19" t="n"/>
      <c r="H926" s="20">
        <f>IF($A926="","",MONTH($A926)&amp;"/"&amp;YEAR($A926))</f>
        <v/>
      </c>
      <c r="I926" s="21">
        <f>IF($A926="",0,YEAR($A926)*12+MONTH($A926))</f>
        <v/>
      </c>
    </row>
    <row r="927">
      <c r="A927" s="16" t="n"/>
      <c r="B927" s="17" t="n"/>
      <c r="C927" s="17" t="n"/>
      <c r="D927" s="18" t="n"/>
      <c r="E927" s="18" t="n"/>
      <c r="F927" s="17" t="n"/>
      <c r="G927" s="19" t="n"/>
      <c r="H927" s="20">
        <f>IF($A927="","",MONTH($A927)&amp;"/"&amp;YEAR($A927))</f>
        <v/>
      </c>
      <c r="I927" s="21">
        <f>IF($A927="",0,YEAR($A927)*12+MONTH($A927))</f>
        <v/>
      </c>
    </row>
    <row r="928">
      <c r="A928" s="16" t="n"/>
      <c r="B928" s="17" t="n"/>
      <c r="C928" s="17" t="n"/>
      <c r="D928" s="18" t="n"/>
      <c r="E928" s="18" t="n"/>
      <c r="F928" s="17" t="n"/>
      <c r="G928" s="19" t="n"/>
      <c r="H928" s="20">
        <f>IF($A928="","",MONTH($A928)&amp;"/"&amp;YEAR($A928))</f>
        <v/>
      </c>
      <c r="I928" s="21">
        <f>IF($A928="",0,YEAR($A928)*12+MONTH($A928))</f>
        <v/>
      </c>
    </row>
    <row r="929">
      <c r="A929" s="16" t="n"/>
      <c r="B929" s="17" t="n"/>
      <c r="C929" s="17" t="n"/>
      <c r="D929" s="18" t="n"/>
      <c r="E929" s="18" t="n"/>
      <c r="F929" s="17" t="n"/>
      <c r="G929" s="19" t="n"/>
      <c r="H929" s="20">
        <f>IF($A929="","",MONTH($A929)&amp;"/"&amp;YEAR($A929))</f>
        <v/>
      </c>
      <c r="I929" s="21">
        <f>IF($A929="",0,YEAR($A929)*12+MONTH($A929))</f>
        <v/>
      </c>
    </row>
    <row r="930">
      <c r="A930" s="16" t="n"/>
      <c r="B930" s="17" t="n"/>
      <c r="C930" s="17" t="n"/>
      <c r="D930" s="18" t="n"/>
      <c r="E930" s="18" t="n"/>
      <c r="F930" s="17" t="n"/>
      <c r="G930" s="19" t="n"/>
      <c r="H930" s="20">
        <f>IF($A930="","",MONTH($A930)&amp;"/"&amp;YEAR($A930))</f>
        <v/>
      </c>
      <c r="I930" s="21">
        <f>IF($A930="",0,YEAR($A930)*12+MONTH($A930))</f>
        <v/>
      </c>
    </row>
    <row r="931">
      <c r="A931" s="16" t="n"/>
      <c r="B931" s="17" t="n"/>
      <c r="C931" s="17" t="n"/>
      <c r="D931" s="18" t="n"/>
      <c r="E931" s="18" t="n"/>
      <c r="F931" s="17" t="n"/>
      <c r="G931" s="19" t="n"/>
      <c r="H931" s="20">
        <f>IF($A931="","",MONTH($A931)&amp;"/"&amp;YEAR($A931))</f>
        <v/>
      </c>
      <c r="I931" s="21">
        <f>IF($A931="",0,YEAR($A931)*12+MONTH($A931))</f>
        <v/>
      </c>
    </row>
    <row r="932">
      <c r="A932" s="16" t="n"/>
      <c r="B932" s="17" t="n"/>
      <c r="C932" s="17" t="n"/>
      <c r="D932" s="18" t="n"/>
      <c r="E932" s="18" t="n"/>
      <c r="F932" s="17" t="n"/>
      <c r="G932" s="19" t="n"/>
      <c r="H932" s="20">
        <f>IF($A932="","",MONTH($A932)&amp;"/"&amp;YEAR($A932))</f>
        <v/>
      </c>
      <c r="I932" s="21">
        <f>IF($A932="",0,YEAR($A932)*12+MONTH($A932))</f>
        <v/>
      </c>
    </row>
    <row r="933">
      <c r="A933" s="16" t="n"/>
      <c r="B933" s="17" t="n"/>
      <c r="C933" s="17" t="n"/>
      <c r="D933" s="18" t="n"/>
      <c r="E933" s="18" t="n"/>
      <c r="F933" s="17" t="n"/>
      <c r="G933" s="19" t="n"/>
      <c r="H933" s="20">
        <f>IF($A933="","",MONTH($A933)&amp;"/"&amp;YEAR($A933))</f>
        <v/>
      </c>
      <c r="I933" s="21">
        <f>IF($A933="",0,YEAR($A933)*12+MONTH($A933))</f>
        <v/>
      </c>
    </row>
    <row r="934">
      <c r="A934" s="16" t="n"/>
      <c r="B934" s="17" t="n"/>
      <c r="C934" s="17" t="n"/>
      <c r="D934" s="18" t="n"/>
      <c r="E934" s="18" t="n"/>
      <c r="F934" s="17" t="n"/>
      <c r="G934" s="19" t="n"/>
      <c r="H934" s="20">
        <f>IF($A934="","",MONTH($A934)&amp;"/"&amp;YEAR($A934))</f>
        <v/>
      </c>
      <c r="I934" s="21">
        <f>IF($A934="",0,YEAR($A934)*12+MONTH($A934))</f>
        <v/>
      </c>
    </row>
    <row r="935">
      <c r="A935" s="16" t="n"/>
      <c r="B935" s="17" t="n"/>
      <c r="C935" s="17" t="n"/>
      <c r="D935" s="18" t="n"/>
      <c r="E935" s="18" t="n"/>
      <c r="F935" s="17" t="n"/>
      <c r="G935" s="19" t="n"/>
      <c r="H935" s="20">
        <f>IF($A935="","",MONTH($A935)&amp;"/"&amp;YEAR($A935))</f>
        <v/>
      </c>
      <c r="I935" s="21">
        <f>IF($A935="",0,YEAR($A935)*12+MONTH($A935))</f>
        <v/>
      </c>
    </row>
    <row r="936">
      <c r="A936" s="16" t="n"/>
      <c r="B936" s="17" t="n"/>
      <c r="C936" s="17" t="n"/>
      <c r="D936" s="18" t="n"/>
      <c r="E936" s="18" t="n"/>
      <c r="F936" s="17" t="n"/>
      <c r="G936" s="19" t="n"/>
      <c r="H936" s="20">
        <f>IF($A936="","",MONTH($A936)&amp;"/"&amp;YEAR($A936))</f>
        <v/>
      </c>
      <c r="I936" s="21">
        <f>IF($A936="",0,YEAR($A936)*12+MONTH($A936))</f>
        <v/>
      </c>
    </row>
    <row r="937">
      <c r="A937" s="16" t="n"/>
      <c r="B937" s="17" t="n"/>
      <c r="C937" s="17" t="n"/>
      <c r="D937" s="18" t="n"/>
      <c r="E937" s="18" t="n"/>
      <c r="F937" s="17" t="n"/>
      <c r="G937" s="19" t="n"/>
      <c r="H937" s="20">
        <f>IF($A937="","",MONTH($A937)&amp;"/"&amp;YEAR($A937))</f>
        <v/>
      </c>
      <c r="I937" s="21">
        <f>IF($A937="",0,YEAR($A937)*12+MONTH($A937))</f>
        <v/>
      </c>
    </row>
    <row r="938">
      <c r="A938" s="16" t="n"/>
      <c r="B938" s="17" t="n"/>
      <c r="C938" s="17" t="n"/>
      <c r="D938" s="18" t="n"/>
      <c r="E938" s="18" t="n"/>
      <c r="F938" s="17" t="n"/>
      <c r="G938" s="19" t="n"/>
      <c r="H938" s="20">
        <f>IF($A938="","",MONTH($A938)&amp;"/"&amp;YEAR($A938))</f>
        <v/>
      </c>
      <c r="I938" s="21">
        <f>IF($A938="",0,YEAR($A938)*12+MONTH($A938))</f>
        <v/>
      </c>
    </row>
    <row r="939">
      <c r="A939" s="16" t="n"/>
      <c r="B939" s="17" t="n"/>
      <c r="C939" s="17" t="n"/>
      <c r="D939" s="18" t="n"/>
      <c r="E939" s="18" t="n"/>
      <c r="F939" s="17" t="n"/>
      <c r="G939" s="19" t="n"/>
      <c r="H939" s="20">
        <f>IF($A939="","",MONTH($A939)&amp;"/"&amp;YEAR($A939))</f>
        <v/>
      </c>
      <c r="I939" s="21">
        <f>IF($A939="",0,YEAR($A939)*12+MONTH($A939))</f>
        <v/>
      </c>
    </row>
    <row r="940">
      <c r="A940" s="16" t="n"/>
      <c r="B940" s="17" t="n"/>
      <c r="C940" s="17" t="n"/>
      <c r="D940" s="18" t="n"/>
      <c r="E940" s="18" t="n"/>
      <c r="F940" s="17" t="n"/>
      <c r="G940" s="19" t="n"/>
      <c r="H940" s="20">
        <f>IF($A940="","",MONTH($A940)&amp;"/"&amp;YEAR($A940))</f>
        <v/>
      </c>
      <c r="I940" s="21">
        <f>IF($A940="",0,YEAR($A940)*12+MONTH($A940))</f>
        <v/>
      </c>
    </row>
    <row r="941">
      <c r="A941" s="16" t="n"/>
      <c r="B941" s="17" t="n"/>
      <c r="C941" s="17" t="n"/>
      <c r="D941" s="18" t="n"/>
      <c r="E941" s="18" t="n"/>
      <c r="F941" s="17" t="n"/>
      <c r="G941" s="19" t="n"/>
      <c r="H941" s="20">
        <f>IF($A941="","",MONTH($A941)&amp;"/"&amp;YEAR($A941))</f>
        <v/>
      </c>
      <c r="I941" s="21">
        <f>IF($A941="",0,YEAR($A941)*12+MONTH($A941))</f>
        <v/>
      </c>
    </row>
    <row r="942">
      <c r="A942" s="16" t="n"/>
      <c r="B942" s="17" t="n"/>
      <c r="C942" s="17" t="n"/>
      <c r="D942" s="18" t="n"/>
      <c r="E942" s="18" t="n"/>
      <c r="F942" s="17" t="n"/>
      <c r="G942" s="19" t="n"/>
      <c r="H942" s="20">
        <f>IF($A942="","",MONTH($A942)&amp;"/"&amp;YEAR($A942))</f>
        <v/>
      </c>
      <c r="I942" s="21">
        <f>IF($A942="",0,YEAR($A942)*12+MONTH($A942))</f>
        <v/>
      </c>
    </row>
    <row r="943">
      <c r="A943" s="16" t="n"/>
      <c r="B943" s="17" t="n"/>
      <c r="C943" s="17" t="n"/>
      <c r="D943" s="18" t="n"/>
      <c r="E943" s="18" t="n"/>
      <c r="F943" s="17" t="n"/>
      <c r="G943" s="19" t="n"/>
      <c r="H943" s="20">
        <f>IF($A943="","",MONTH($A943)&amp;"/"&amp;YEAR($A943))</f>
        <v/>
      </c>
      <c r="I943" s="21">
        <f>IF($A943="",0,YEAR($A943)*12+MONTH($A943))</f>
        <v/>
      </c>
    </row>
    <row r="944">
      <c r="A944" s="16" t="n"/>
      <c r="B944" s="17" t="n"/>
      <c r="C944" s="17" t="n"/>
      <c r="D944" s="18" t="n"/>
      <c r="E944" s="18" t="n"/>
      <c r="F944" s="17" t="n"/>
      <c r="G944" s="19" t="n"/>
      <c r="H944" s="20">
        <f>IF($A944="","",MONTH($A944)&amp;"/"&amp;YEAR($A944))</f>
        <v/>
      </c>
      <c r="I944" s="21">
        <f>IF($A944="",0,YEAR($A944)*12+MONTH($A944))</f>
        <v/>
      </c>
    </row>
    <row r="945">
      <c r="A945" s="16" t="n"/>
      <c r="B945" s="17" t="n"/>
      <c r="C945" s="17" t="n"/>
      <c r="D945" s="18" t="n"/>
      <c r="E945" s="18" t="n"/>
      <c r="F945" s="17" t="n"/>
      <c r="G945" s="19" t="n"/>
      <c r="H945" s="20">
        <f>IF($A945="","",MONTH($A945)&amp;"/"&amp;YEAR($A945))</f>
        <v/>
      </c>
      <c r="I945" s="21">
        <f>IF($A945="",0,YEAR($A945)*12+MONTH($A945))</f>
        <v/>
      </c>
    </row>
    <row r="946">
      <c r="A946" s="16" t="n"/>
      <c r="B946" s="17" t="n"/>
      <c r="C946" s="17" t="n"/>
      <c r="D946" s="18" t="n"/>
      <c r="E946" s="18" t="n"/>
      <c r="F946" s="17" t="n"/>
      <c r="G946" s="19" t="n"/>
      <c r="H946" s="20">
        <f>IF($A946="","",MONTH($A946)&amp;"/"&amp;YEAR($A946))</f>
        <v/>
      </c>
      <c r="I946" s="21">
        <f>IF($A946="",0,YEAR($A946)*12+MONTH($A946))</f>
        <v/>
      </c>
    </row>
    <row r="947">
      <c r="A947" s="16" t="n"/>
      <c r="B947" s="17" t="n"/>
      <c r="C947" s="17" t="n"/>
      <c r="D947" s="18" t="n"/>
      <c r="E947" s="18" t="n"/>
      <c r="F947" s="17" t="n"/>
      <c r="G947" s="19" t="n"/>
      <c r="H947" s="20">
        <f>IF($A947="","",MONTH($A947)&amp;"/"&amp;YEAR($A947))</f>
        <v/>
      </c>
      <c r="I947" s="21">
        <f>IF($A947="",0,YEAR($A947)*12+MONTH($A947))</f>
        <v/>
      </c>
    </row>
    <row r="948">
      <c r="A948" s="16" t="n"/>
      <c r="B948" s="17" t="n"/>
      <c r="C948" s="17" t="n"/>
      <c r="D948" s="18" t="n"/>
      <c r="E948" s="18" t="n"/>
      <c r="F948" s="17" t="n"/>
      <c r="G948" s="19" t="n"/>
      <c r="H948" s="20">
        <f>IF($A948="","",MONTH($A948)&amp;"/"&amp;YEAR($A948))</f>
        <v/>
      </c>
      <c r="I948" s="21">
        <f>IF($A948="",0,YEAR($A948)*12+MONTH($A948))</f>
        <v/>
      </c>
    </row>
    <row r="949">
      <c r="A949" s="16" t="n"/>
      <c r="B949" s="17" t="n"/>
      <c r="C949" s="17" t="n"/>
      <c r="D949" s="18" t="n"/>
      <c r="E949" s="18" t="n"/>
      <c r="F949" s="17" t="n"/>
      <c r="G949" s="19" t="n"/>
      <c r="H949" s="20">
        <f>IF($A949="","",MONTH($A949)&amp;"/"&amp;YEAR($A949))</f>
        <v/>
      </c>
      <c r="I949" s="21">
        <f>IF($A949="",0,YEAR($A949)*12+MONTH($A949))</f>
        <v/>
      </c>
    </row>
    <row r="950">
      <c r="A950" s="16" t="n"/>
      <c r="B950" s="17" t="n"/>
      <c r="C950" s="17" t="n"/>
      <c r="D950" s="18" t="n"/>
      <c r="E950" s="18" t="n"/>
      <c r="F950" s="17" t="n"/>
      <c r="G950" s="19" t="n"/>
      <c r="H950" s="20">
        <f>IF($A950="","",MONTH($A950)&amp;"/"&amp;YEAR($A950))</f>
        <v/>
      </c>
      <c r="I950" s="21">
        <f>IF($A950="",0,YEAR($A950)*12+MONTH($A950))</f>
        <v/>
      </c>
    </row>
    <row r="951">
      <c r="A951" s="16" t="n"/>
      <c r="B951" s="17" t="n"/>
      <c r="C951" s="17" t="n"/>
      <c r="D951" s="18" t="n"/>
      <c r="E951" s="18" t="n"/>
      <c r="F951" s="17" t="n"/>
      <c r="G951" s="19" t="n"/>
      <c r="H951" s="20">
        <f>IF($A951="","",MONTH($A951)&amp;"/"&amp;YEAR($A951))</f>
        <v/>
      </c>
      <c r="I951" s="21">
        <f>IF($A951="",0,YEAR($A951)*12+MONTH($A951))</f>
        <v/>
      </c>
    </row>
    <row r="952">
      <c r="A952" s="16" t="n"/>
      <c r="B952" s="17" t="n"/>
      <c r="C952" s="17" t="n"/>
      <c r="D952" s="18" t="n"/>
      <c r="E952" s="18" t="n"/>
      <c r="F952" s="17" t="n"/>
      <c r="G952" s="19" t="n"/>
      <c r="H952" s="20">
        <f>IF($A952="","",MONTH($A952)&amp;"/"&amp;YEAR($A952))</f>
        <v/>
      </c>
      <c r="I952" s="21">
        <f>IF($A952="",0,YEAR($A952)*12+MONTH($A952))</f>
        <v/>
      </c>
    </row>
    <row r="953">
      <c r="A953" s="16" t="n"/>
      <c r="B953" s="17" t="n"/>
      <c r="C953" s="17" t="n"/>
      <c r="D953" s="18" t="n"/>
      <c r="E953" s="18" t="n"/>
      <c r="F953" s="17" t="n"/>
      <c r="G953" s="19" t="n"/>
      <c r="H953" s="20">
        <f>IF($A953="","",MONTH($A953)&amp;"/"&amp;YEAR($A953))</f>
        <v/>
      </c>
      <c r="I953" s="21">
        <f>IF($A953="",0,YEAR($A953)*12+MONTH($A953))</f>
        <v/>
      </c>
    </row>
    <row r="954">
      <c r="A954" s="16" t="n"/>
      <c r="B954" s="17" t="n"/>
      <c r="C954" s="17" t="n"/>
      <c r="D954" s="18" t="n"/>
      <c r="E954" s="18" t="n"/>
      <c r="F954" s="17" t="n"/>
      <c r="G954" s="19" t="n"/>
      <c r="H954" s="20">
        <f>IF($A954="","",MONTH($A954)&amp;"/"&amp;YEAR($A954))</f>
        <v/>
      </c>
      <c r="I954" s="21">
        <f>IF($A954="",0,YEAR($A954)*12+MONTH($A954))</f>
        <v/>
      </c>
    </row>
    <row r="955">
      <c r="A955" s="16" t="n"/>
      <c r="B955" s="17" t="n"/>
      <c r="C955" s="17" t="n"/>
      <c r="D955" s="18" t="n"/>
      <c r="E955" s="18" t="n"/>
      <c r="F955" s="17" t="n"/>
      <c r="G955" s="19" t="n"/>
      <c r="H955" s="20">
        <f>IF($A955="","",MONTH($A955)&amp;"/"&amp;YEAR($A955))</f>
        <v/>
      </c>
      <c r="I955" s="21">
        <f>IF($A955="",0,YEAR($A955)*12+MONTH($A955))</f>
        <v/>
      </c>
    </row>
    <row r="956">
      <c r="A956" s="16" t="n"/>
      <c r="B956" s="17" t="n"/>
      <c r="C956" s="17" t="n"/>
      <c r="D956" s="18" t="n"/>
      <c r="E956" s="18" t="n"/>
      <c r="F956" s="17" t="n"/>
      <c r="G956" s="19" t="n"/>
      <c r="H956" s="20">
        <f>IF($A956="","",MONTH($A956)&amp;"/"&amp;YEAR($A956))</f>
        <v/>
      </c>
      <c r="I956" s="21">
        <f>IF($A956="",0,YEAR($A956)*12+MONTH($A956))</f>
        <v/>
      </c>
    </row>
    <row r="957">
      <c r="A957" s="16" t="n"/>
      <c r="B957" s="17" t="n"/>
      <c r="C957" s="17" t="n"/>
      <c r="D957" s="18" t="n"/>
      <c r="E957" s="18" t="n"/>
      <c r="F957" s="17" t="n"/>
      <c r="G957" s="19" t="n"/>
      <c r="H957" s="20">
        <f>IF($A957="","",MONTH($A957)&amp;"/"&amp;YEAR($A957))</f>
        <v/>
      </c>
      <c r="I957" s="21">
        <f>IF($A957="",0,YEAR($A957)*12+MONTH($A957))</f>
        <v/>
      </c>
    </row>
    <row r="958">
      <c r="A958" s="16" t="n"/>
      <c r="B958" s="17" t="n"/>
      <c r="C958" s="17" t="n"/>
      <c r="D958" s="18" t="n"/>
      <c r="E958" s="18" t="n"/>
      <c r="F958" s="17" t="n"/>
      <c r="G958" s="19" t="n"/>
      <c r="H958" s="20">
        <f>IF($A958="","",MONTH($A958)&amp;"/"&amp;YEAR($A958))</f>
        <v/>
      </c>
      <c r="I958" s="21">
        <f>IF($A958="",0,YEAR($A958)*12+MONTH($A958))</f>
        <v/>
      </c>
    </row>
    <row r="959">
      <c r="A959" s="16" t="n"/>
      <c r="B959" s="17" t="n"/>
      <c r="C959" s="17" t="n"/>
      <c r="D959" s="18" t="n"/>
      <c r="E959" s="18" t="n"/>
      <c r="F959" s="17" t="n"/>
      <c r="G959" s="19" t="n"/>
      <c r="H959" s="20">
        <f>IF($A959="","",MONTH($A959)&amp;"/"&amp;YEAR($A959))</f>
        <v/>
      </c>
      <c r="I959" s="21">
        <f>IF($A959="",0,YEAR($A959)*12+MONTH($A959))</f>
        <v/>
      </c>
    </row>
    <row r="960">
      <c r="A960" s="16" t="n"/>
      <c r="B960" s="17" t="n"/>
      <c r="C960" s="17" t="n"/>
      <c r="D960" s="18" t="n"/>
      <c r="E960" s="18" t="n"/>
      <c r="F960" s="17" t="n"/>
      <c r="G960" s="19" t="n"/>
      <c r="H960" s="20">
        <f>IF($A960="","",MONTH($A960)&amp;"/"&amp;YEAR($A960))</f>
        <v/>
      </c>
      <c r="I960" s="21">
        <f>IF($A960="",0,YEAR($A960)*12+MONTH($A960))</f>
        <v/>
      </c>
    </row>
    <row r="961">
      <c r="A961" s="16" t="n"/>
      <c r="B961" s="17" t="n"/>
      <c r="C961" s="17" t="n"/>
      <c r="D961" s="18" t="n"/>
      <c r="E961" s="18" t="n"/>
      <c r="F961" s="17" t="n"/>
      <c r="G961" s="19" t="n"/>
      <c r="H961" s="20">
        <f>IF($A961="","",MONTH($A961)&amp;"/"&amp;YEAR($A961))</f>
        <v/>
      </c>
      <c r="I961" s="21">
        <f>IF($A961="",0,YEAR($A961)*12+MONTH($A961))</f>
        <v/>
      </c>
    </row>
    <row r="962">
      <c r="A962" s="16" t="n"/>
      <c r="B962" s="17" t="n"/>
      <c r="C962" s="17" t="n"/>
      <c r="D962" s="18" t="n"/>
      <c r="E962" s="18" t="n"/>
      <c r="F962" s="17" t="n"/>
      <c r="G962" s="19" t="n"/>
      <c r="H962" s="20">
        <f>IF($A962="","",MONTH($A962)&amp;"/"&amp;YEAR($A962))</f>
        <v/>
      </c>
      <c r="I962" s="21">
        <f>IF($A962="",0,YEAR($A962)*12+MONTH($A962))</f>
        <v/>
      </c>
    </row>
    <row r="963">
      <c r="A963" s="16" t="n"/>
      <c r="B963" s="17" t="n"/>
      <c r="C963" s="17" t="n"/>
      <c r="D963" s="18" t="n"/>
      <c r="E963" s="18" t="n"/>
      <c r="F963" s="17" t="n"/>
      <c r="G963" s="19" t="n"/>
      <c r="H963" s="20">
        <f>IF($A963="","",MONTH($A963)&amp;"/"&amp;YEAR($A963))</f>
        <v/>
      </c>
      <c r="I963" s="21">
        <f>IF($A963="",0,YEAR($A963)*12+MONTH($A963))</f>
        <v/>
      </c>
    </row>
    <row r="964">
      <c r="A964" s="16" t="n"/>
      <c r="B964" s="17" t="n"/>
      <c r="C964" s="17" t="n"/>
      <c r="D964" s="18" t="n"/>
      <c r="E964" s="18" t="n"/>
      <c r="F964" s="17" t="n"/>
      <c r="G964" s="19" t="n"/>
      <c r="H964" s="20">
        <f>IF($A964="","",MONTH($A964)&amp;"/"&amp;YEAR($A964))</f>
        <v/>
      </c>
      <c r="I964" s="21">
        <f>IF($A964="",0,YEAR($A964)*12+MONTH($A964))</f>
        <v/>
      </c>
    </row>
    <row r="965">
      <c r="A965" s="16" t="n"/>
      <c r="B965" s="17" t="n"/>
      <c r="C965" s="17" t="n"/>
      <c r="D965" s="18" t="n"/>
      <c r="E965" s="18" t="n"/>
      <c r="F965" s="17" t="n"/>
      <c r="G965" s="19" t="n"/>
      <c r="H965" s="20">
        <f>IF($A965="","",MONTH($A965)&amp;"/"&amp;YEAR($A965))</f>
        <v/>
      </c>
      <c r="I965" s="21">
        <f>IF($A965="",0,YEAR($A965)*12+MONTH($A965))</f>
        <v/>
      </c>
    </row>
    <row r="966">
      <c r="A966" s="16" t="n"/>
      <c r="B966" s="17" t="n"/>
      <c r="C966" s="17" t="n"/>
      <c r="D966" s="18" t="n"/>
      <c r="E966" s="18" t="n"/>
      <c r="F966" s="17" t="n"/>
      <c r="G966" s="19" t="n"/>
      <c r="H966" s="20">
        <f>IF($A966="","",MONTH($A966)&amp;"/"&amp;YEAR($A966))</f>
        <v/>
      </c>
      <c r="I966" s="21">
        <f>IF($A966="",0,YEAR($A966)*12+MONTH($A966))</f>
        <v/>
      </c>
    </row>
    <row r="967">
      <c r="A967" s="16" t="n"/>
      <c r="B967" s="17" t="n"/>
      <c r="C967" s="17" t="n"/>
      <c r="D967" s="18" t="n"/>
      <c r="E967" s="18" t="n"/>
      <c r="F967" s="17" t="n"/>
      <c r="G967" s="19" t="n"/>
      <c r="H967" s="20">
        <f>IF($A967="","",MONTH($A967)&amp;"/"&amp;YEAR($A967))</f>
        <v/>
      </c>
      <c r="I967" s="21">
        <f>IF($A967="",0,YEAR($A967)*12+MONTH($A967))</f>
        <v/>
      </c>
    </row>
    <row r="968">
      <c r="A968" s="16" t="n"/>
      <c r="B968" s="17" t="n"/>
      <c r="C968" s="17" t="n"/>
      <c r="D968" s="18" t="n"/>
      <c r="E968" s="18" t="n"/>
      <c r="F968" s="17" t="n"/>
      <c r="G968" s="19" t="n"/>
      <c r="H968" s="20">
        <f>IF($A968="","",MONTH($A968)&amp;"/"&amp;YEAR($A968))</f>
        <v/>
      </c>
      <c r="I968" s="21">
        <f>IF($A968="",0,YEAR($A968)*12+MONTH($A968))</f>
        <v/>
      </c>
    </row>
    <row r="969">
      <c r="A969" s="16" t="n"/>
      <c r="B969" s="17" t="n"/>
      <c r="C969" s="17" t="n"/>
      <c r="D969" s="18" t="n"/>
      <c r="E969" s="18" t="n"/>
      <c r="F969" s="17" t="n"/>
      <c r="G969" s="19" t="n"/>
      <c r="H969" s="20">
        <f>IF($A969="","",MONTH($A969)&amp;"/"&amp;YEAR($A969))</f>
        <v/>
      </c>
      <c r="I969" s="21">
        <f>IF($A969="",0,YEAR($A969)*12+MONTH($A969))</f>
        <v/>
      </c>
    </row>
    <row r="970">
      <c r="A970" s="16" t="n"/>
      <c r="B970" s="17" t="n"/>
      <c r="C970" s="17" t="n"/>
      <c r="D970" s="18" t="n"/>
      <c r="E970" s="18" t="n"/>
      <c r="F970" s="17" t="n"/>
      <c r="G970" s="19" t="n"/>
      <c r="H970" s="20">
        <f>IF($A970="","",MONTH($A970)&amp;"/"&amp;YEAR($A970))</f>
        <v/>
      </c>
      <c r="I970" s="21">
        <f>IF($A970="",0,YEAR($A970)*12+MONTH($A970))</f>
        <v/>
      </c>
    </row>
    <row r="971">
      <c r="A971" s="16" t="n"/>
      <c r="B971" s="17" t="n"/>
      <c r="C971" s="17" t="n"/>
      <c r="D971" s="18" t="n"/>
      <c r="E971" s="18" t="n"/>
      <c r="F971" s="17" t="n"/>
      <c r="G971" s="19" t="n"/>
      <c r="H971" s="20">
        <f>IF($A971="","",MONTH($A971)&amp;"/"&amp;YEAR($A971))</f>
        <v/>
      </c>
      <c r="I971" s="21">
        <f>IF($A971="",0,YEAR($A971)*12+MONTH($A971))</f>
        <v/>
      </c>
    </row>
    <row r="972">
      <c r="A972" s="16" t="n"/>
      <c r="B972" s="17" t="n"/>
      <c r="C972" s="17" t="n"/>
      <c r="D972" s="18" t="n"/>
      <c r="E972" s="18" t="n"/>
      <c r="F972" s="17" t="n"/>
      <c r="G972" s="19" t="n"/>
      <c r="H972" s="20">
        <f>IF($A972="","",MONTH($A972)&amp;"/"&amp;YEAR($A972))</f>
        <v/>
      </c>
      <c r="I972" s="21">
        <f>IF($A972="",0,YEAR($A972)*12+MONTH($A972))</f>
        <v/>
      </c>
    </row>
    <row r="973">
      <c r="A973" s="16" t="n"/>
      <c r="B973" s="17" t="n"/>
      <c r="C973" s="17" t="n"/>
      <c r="D973" s="18" t="n"/>
      <c r="E973" s="18" t="n"/>
      <c r="F973" s="17" t="n"/>
      <c r="G973" s="19" t="n"/>
      <c r="H973" s="20">
        <f>IF($A973="","",MONTH($A973)&amp;"/"&amp;YEAR($A973))</f>
        <v/>
      </c>
      <c r="I973" s="21">
        <f>IF($A973="",0,YEAR($A973)*12+MONTH($A973))</f>
        <v/>
      </c>
    </row>
    <row r="974">
      <c r="A974" s="16" t="n"/>
      <c r="B974" s="17" t="n"/>
      <c r="C974" s="17" t="n"/>
      <c r="D974" s="18" t="n"/>
      <c r="E974" s="18" t="n"/>
      <c r="F974" s="17" t="n"/>
      <c r="G974" s="19" t="n"/>
      <c r="H974" s="20">
        <f>IF($A974="","",MONTH($A974)&amp;"/"&amp;YEAR($A974))</f>
        <v/>
      </c>
      <c r="I974" s="21">
        <f>IF($A974="",0,YEAR($A974)*12+MONTH($A974))</f>
        <v/>
      </c>
    </row>
    <row r="975">
      <c r="A975" s="16" t="n"/>
      <c r="B975" s="17" t="n"/>
      <c r="C975" s="17" t="n"/>
      <c r="D975" s="18" t="n"/>
      <c r="E975" s="18" t="n"/>
      <c r="F975" s="17" t="n"/>
      <c r="G975" s="19" t="n"/>
      <c r="H975" s="20">
        <f>IF($A975="","",MONTH($A975)&amp;"/"&amp;YEAR($A975))</f>
        <v/>
      </c>
      <c r="I975" s="21">
        <f>IF($A975="",0,YEAR($A975)*12+MONTH($A975))</f>
        <v/>
      </c>
    </row>
    <row r="976">
      <c r="A976" s="16" t="n"/>
      <c r="B976" s="17" t="n"/>
      <c r="C976" s="17" t="n"/>
      <c r="D976" s="18" t="n"/>
      <c r="E976" s="18" t="n"/>
      <c r="F976" s="17" t="n"/>
      <c r="G976" s="19" t="n"/>
      <c r="H976" s="20">
        <f>IF($A976="","",MONTH($A976)&amp;"/"&amp;YEAR($A976))</f>
        <v/>
      </c>
      <c r="I976" s="21">
        <f>IF($A976="",0,YEAR($A976)*12+MONTH($A976))</f>
        <v/>
      </c>
    </row>
    <row r="977">
      <c r="A977" s="16" t="n"/>
      <c r="B977" s="17" t="n"/>
      <c r="C977" s="17" t="n"/>
      <c r="D977" s="18" t="n"/>
      <c r="E977" s="18" t="n"/>
      <c r="F977" s="17" t="n"/>
      <c r="G977" s="19" t="n"/>
      <c r="H977" s="20">
        <f>IF($A977="","",MONTH($A977)&amp;"/"&amp;YEAR($A977))</f>
        <v/>
      </c>
      <c r="I977" s="21">
        <f>IF($A977="",0,YEAR($A977)*12+MONTH($A977))</f>
        <v/>
      </c>
    </row>
    <row r="978">
      <c r="A978" s="16" t="n"/>
      <c r="B978" s="17" t="n"/>
      <c r="C978" s="17" t="n"/>
      <c r="D978" s="18" t="n"/>
      <c r="E978" s="18" t="n"/>
      <c r="F978" s="17" t="n"/>
      <c r="G978" s="19" t="n"/>
      <c r="H978" s="20">
        <f>IF($A978="","",MONTH($A978)&amp;"/"&amp;YEAR($A978))</f>
        <v/>
      </c>
      <c r="I978" s="21">
        <f>IF($A978="",0,YEAR($A978)*12+MONTH($A978))</f>
        <v/>
      </c>
    </row>
    <row r="979">
      <c r="A979" s="16" t="n"/>
      <c r="B979" s="17" t="n"/>
      <c r="C979" s="17" t="n"/>
      <c r="D979" s="18" t="n"/>
      <c r="E979" s="18" t="n"/>
      <c r="F979" s="17" t="n"/>
      <c r="G979" s="19" t="n"/>
      <c r="H979" s="20">
        <f>IF($A979="","",MONTH($A979)&amp;"/"&amp;YEAR($A979))</f>
        <v/>
      </c>
      <c r="I979" s="21">
        <f>IF($A979="",0,YEAR($A979)*12+MONTH($A979))</f>
        <v/>
      </c>
    </row>
    <row r="980">
      <c r="A980" s="16" t="n"/>
      <c r="B980" s="17" t="n"/>
      <c r="C980" s="17" t="n"/>
      <c r="D980" s="18" t="n"/>
      <c r="E980" s="18" t="n"/>
      <c r="F980" s="17" t="n"/>
      <c r="G980" s="19" t="n"/>
      <c r="H980" s="20">
        <f>IF($A980="","",MONTH($A980)&amp;"/"&amp;YEAR($A980))</f>
        <v/>
      </c>
      <c r="I980" s="21">
        <f>IF($A980="",0,YEAR($A980)*12+MONTH($A980))</f>
        <v/>
      </c>
    </row>
    <row r="981">
      <c r="A981" s="16" t="n"/>
      <c r="B981" s="17" t="n"/>
      <c r="C981" s="17" t="n"/>
      <c r="D981" s="18" t="n"/>
      <c r="E981" s="18" t="n"/>
      <c r="F981" s="17" t="n"/>
      <c r="G981" s="19" t="n"/>
      <c r="H981" s="20">
        <f>IF($A981="","",MONTH($A981)&amp;"/"&amp;YEAR($A981))</f>
        <v/>
      </c>
      <c r="I981" s="21">
        <f>IF($A981="",0,YEAR($A981)*12+MONTH($A981))</f>
        <v/>
      </c>
    </row>
    <row r="982">
      <c r="A982" s="16" t="n"/>
      <c r="B982" s="17" t="n"/>
      <c r="C982" s="17" t="n"/>
      <c r="D982" s="18" t="n"/>
      <c r="E982" s="18" t="n"/>
      <c r="F982" s="17" t="n"/>
      <c r="G982" s="19" t="n"/>
      <c r="H982" s="20">
        <f>IF($A982="","",MONTH($A982)&amp;"/"&amp;YEAR($A982))</f>
        <v/>
      </c>
      <c r="I982" s="21">
        <f>IF($A982="",0,YEAR($A982)*12+MONTH($A982))</f>
        <v/>
      </c>
    </row>
    <row r="983">
      <c r="A983" s="16" t="n"/>
      <c r="B983" s="17" t="n"/>
      <c r="C983" s="17" t="n"/>
      <c r="D983" s="18" t="n"/>
      <c r="E983" s="18" t="n"/>
      <c r="F983" s="17" t="n"/>
      <c r="G983" s="19" t="n"/>
      <c r="H983" s="20">
        <f>IF($A983="","",MONTH($A983)&amp;"/"&amp;YEAR($A983))</f>
        <v/>
      </c>
      <c r="I983" s="21">
        <f>IF($A983="",0,YEAR($A983)*12+MONTH($A983))</f>
        <v/>
      </c>
    </row>
    <row r="984">
      <c r="A984" s="16" t="n"/>
      <c r="B984" s="17" t="n"/>
      <c r="C984" s="17" t="n"/>
      <c r="D984" s="18" t="n"/>
      <c r="E984" s="18" t="n"/>
      <c r="F984" s="17" t="n"/>
      <c r="G984" s="19" t="n"/>
      <c r="H984" s="20">
        <f>IF($A984="","",MONTH($A984)&amp;"/"&amp;YEAR($A984))</f>
        <v/>
      </c>
      <c r="I984" s="21">
        <f>IF($A984="",0,YEAR($A984)*12+MONTH($A984))</f>
        <v/>
      </c>
    </row>
    <row r="985">
      <c r="A985" s="16" t="n"/>
      <c r="B985" s="17" t="n"/>
      <c r="C985" s="17" t="n"/>
      <c r="D985" s="18" t="n"/>
      <c r="E985" s="18" t="n"/>
      <c r="F985" s="17" t="n"/>
      <c r="G985" s="19" t="n"/>
      <c r="H985" s="20">
        <f>IF($A985="","",MONTH($A985)&amp;"/"&amp;YEAR($A985))</f>
        <v/>
      </c>
      <c r="I985" s="21">
        <f>IF($A985="",0,YEAR($A985)*12+MONTH($A985))</f>
        <v/>
      </c>
    </row>
    <row r="986">
      <c r="A986" s="16" t="n"/>
      <c r="B986" s="17" t="n"/>
      <c r="C986" s="17" t="n"/>
      <c r="D986" s="18" t="n"/>
      <c r="E986" s="18" t="n"/>
      <c r="F986" s="17" t="n"/>
      <c r="G986" s="19" t="n"/>
      <c r="H986" s="20">
        <f>IF($A986="","",MONTH($A986)&amp;"/"&amp;YEAR($A986))</f>
        <v/>
      </c>
      <c r="I986" s="21">
        <f>IF($A986="",0,YEAR($A986)*12+MONTH($A986))</f>
        <v/>
      </c>
    </row>
    <row r="987">
      <c r="A987" s="16" t="n"/>
      <c r="B987" s="17" t="n"/>
      <c r="C987" s="17" t="n"/>
      <c r="D987" s="18" t="n"/>
      <c r="E987" s="18" t="n"/>
      <c r="F987" s="17" t="n"/>
      <c r="G987" s="19" t="n"/>
      <c r="H987" s="20">
        <f>IF($A987="","",MONTH($A987)&amp;"/"&amp;YEAR($A987))</f>
        <v/>
      </c>
      <c r="I987" s="21">
        <f>IF($A987="",0,YEAR($A987)*12+MONTH($A987))</f>
        <v/>
      </c>
    </row>
    <row r="988">
      <c r="A988" s="16" t="n"/>
      <c r="B988" s="17" t="n"/>
      <c r="C988" s="17" t="n"/>
      <c r="D988" s="18" t="n"/>
      <c r="E988" s="18" t="n"/>
      <c r="F988" s="17" t="n"/>
      <c r="G988" s="19" t="n"/>
      <c r="H988" s="20">
        <f>IF($A988="","",MONTH($A988)&amp;"/"&amp;YEAR($A988))</f>
        <v/>
      </c>
      <c r="I988" s="21">
        <f>IF($A988="",0,YEAR($A988)*12+MONTH($A988))</f>
        <v/>
      </c>
    </row>
    <row r="989">
      <c r="A989" s="16" t="n"/>
      <c r="B989" s="17" t="n"/>
      <c r="C989" s="17" t="n"/>
      <c r="D989" s="18" t="n"/>
      <c r="E989" s="18" t="n"/>
      <c r="F989" s="17" t="n"/>
      <c r="G989" s="19" t="n"/>
      <c r="H989" s="20">
        <f>IF($A989="","",MONTH($A989)&amp;"/"&amp;YEAR($A989))</f>
        <v/>
      </c>
      <c r="I989" s="21">
        <f>IF($A989="",0,YEAR($A989)*12+MONTH($A989))</f>
        <v/>
      </c>
    </row>
    <row r="990">
      <c r="A990" s="16" t="n"/>
      <c r="B990" s="17" t="n"/>
      <c r="C990" s="17" t="n"/>
      <c r="D990" s="18" t="n"/>
      <c r="E990" s="18" t="n"/>
      <c r="F990" s="17" t="n"/>
      <c r="G990" s="19" t="n"/>
      <c r="H990" s="20">
        <f>IF($A990="","",MONTH($A990)&amp;"/"&amp;YEAR($A990))</f>
        <v/>
      </c>
      <c r="I990" s="21">
        <f>IF($A990="",0,YEAR($A990)*12+MONTH($A990))</f>
        <v/>
      </c>
    </row>
    <row r="991">
      <c r="A991" s="16" t="n"/>
      <c r="B991" s="17" t="n"/>
      <c r="C991" s="17" t="n"/>
      <c r="D991" s="18" t="n"/>
      <c r="E991" s="18" t="n"/>
      <c r="F991" s="17" t="n"/>
      <c r="G991" s="19" t="n"/>
      <c r="H991" s="20">
        <f>IF($A991="","",MONTH($A991)&amp;"/"&amp;YEAR($A991))</f>
        <v/>
      </c>
      <c r="I991" s="21">
        <f>IF($A991="",0,YEAR($A991)*12+MONTH($A991))</f>
        <v/>
      </c>
    </row>
    <row r="992">
      <c r="A992" s="16" t="n"/>
      <c r="B992" s="17" t="n"/>
      <c r="C992" s="17" t="n"/>
      <c r="D992" s="18" t="n"/>
      <c r="E992" s="18" t="n"/>
      <c r="F992" s="17" t="n"/>
      <c r="G992" s="19" t="n"/>
      <c r="H992" s="20">
        <f>IF($A992="","",MONTH($A992)&amp;"/"&amp;YEAR($A992))</f>
        <v/>
      </c>
      <c r="I992" s="21">
        <f>IF($A992="",0,YEAR($A992)*12+MONTH($A992))</f>
        <v/>
      </c>
    </row>
    <row r="993">
      <c r="A993" s="16" t="n"/>
      <c r="B993" s="17" t="n"/>
      <c r="C993" s="17" t="n"/>
      <c r="D993" s="18" t="n"/>
      <c r="E993" s="18" t="n"/>
      <c r="F993" s="17" t="n"/>
      <c r="G993" s="19" t="n"/>
      <c r="H993" s="20">
        <f>IF($A993="","",MONTH($A993)&amp;"/"&amp;YEAR($A993))</f>
        <v/>
      </c>
      <c r="I993" s="21">
        <f>IF($A993="",0,YEAR($A993)*12+MONTH($A993))</f>
        <v/>
      </c>
    </row>
    <row r="994">
      <c r="A994" s="16" t="n"/>
      <c r="B994" s="17" t="n"/>
      <c r="C994" s="17" t="n"/>
      <c r="D994" s="18" t="n"/>
      <c r="E994" s="18" t="n"/>
      <c r="F994" s="17" t="n"/>
      <c r="G994" s="19" t="n"/>
      <c r="H994" s="20">
        <f>IF($A994="","",MONTH($A994)&amp;"/"&amp;YEAR($A994))</f>
        <v/>
      </c>
      <c r="I994" s="21">
        <f>IF($A994="",0,YEAR($A994)*12+MONTH($A994))</f>
        <v/>
      </c>
    </row>
    <row r="995">
      <c r="A995" s="16" t="n"/>
      <c r="B995" s="17" t="n"/>
      <c r="C995" s="17" t="n"/>
      <c r="D995" s="18" t="n"/>
      <c r="E995" s="18" t="n"/>
      <c r="F995" s="17" t="n"/>
      <c r="G995" s="19" t="n"/>
      <c r="H995" s="20">
        <f>IF($A995="","",MONTH($A995)&amp;"/"&amp;YEAR($A995))</f>
        <v/>
      </c>
      <c r="I995" s="21">
        <f>IF($A995="",0,YEAR($A995)*12+MONTH($A995))</f>
        <v/>
      </c>
    </row>
    <row r="996">
      <c r="A996" s="16" t="n"/>
      <c r="B996" s="17" t="n"/>
      <c r="C996" s="17" t="n"/>
      <c r="D996" s="18" t="n"/>
      <c r="E996" s="18" t="n"/>
      <c r="F996" s="17" t="n"/>
      <c r="G996" s="19" t="n"/>
      <c r="H996" s="20">
        <f>IF($A996="","",MONTH($A996)&amp;"/"&amp;YEAR($A996))</f>
        <v/>
      </c>
      <c r="I996" s="21">
        <f>IF($A996="",0,YEAR($A996)*12+MONTH($A996))</f>
        <v/>
      </c>
    </row>
    <row r="997">
      <c r="A997" s="16" t="n"/>
      <c r="B997" s="17" t="n"/>
      <c r="C997" s="17" t="n"/>
      <c r="D997" s="18" t="n"/>
      <c r="E997" s="18" t="n"/>
      <c r="F997" s="17" t="n"/>
      <c r="G997" s="19" t="n"/>
      <c r="H997" s="20">
        <f>IF($A997="","",MONTH($A997)&amp;"/"&amp;YEAR($A997))</f>
        <v/>
      </c>
      <c r="I997" s="21">
        <f>IF($A997="",0,YEAR($A997)*12+MONTH($A997))</f>
        <v/>
      </c>
    </row>
    <row r="998">
      <c r="A998" s="16" t="n"/>
      <c r="B998" s="17" t="n"/>
      <c r="C998" s="17" t="n"/>
      <c r="D998" s="18" t="n"/>
      <c r="E998" s="18" t="n"/>
      <c r="F998" s="17" t="n"/>
      <c r="G998" s="19" t="n"/>
      <c r="H998" s="20">
        <f>IF($A998="","",MONTH($A998)&amp;"/"&amp;YEAR($A998))</f>
        <v/>
      </c>
      <c r="I998" s="21">
        <f>IF($A998="",0,YEAR($A998)*12+MONTH($A998))</f>
        <v/>
      </c>
    </row>
    <row r="999">
      <c r="A999" s="16" t="n"/>
      <c r="B999" s="17" t="n"/>
      <c r="C999" s="17" t="n"/>
      <c r="D999" s="18" t="n"/>
      <c r="E999" s="18" t="n"/>
      <c r="F999" s="17" t="n"/>
      <c r="G999" s="19" t="n"/>
      <c r="H999" s="20">
        <f>IF($A999="","",MONTH($A999)&amp;"/"&amp;YEAR($A999))</f>
        <v/>
      </c>
      <c r="I999" s="21">
        <f>IF($A999="",0,YEAR($A999)*12+MONTH($A999))</f>
        <v/>
      </c>
    </row>
    <row r="1000">
      <c r="A1000" s="16" t="n"/>
      <c r="B1000" s="17" t="n"/>
      <c r="C1000" s="17" t="n"/>
      <c r="D1000" s="18" t="n"/>
      <c r="E1000" s="18" t="n"/>
      <c r="F1000" s="17" t="n"/>
      <c r="G1000" s="19" t="n"/>
      <c r="H1000" s="20">
        <f>IF($A1000="","",MONTH($A1000)&amp;"/"&amp;YEAR($A1000))</f>
        <v/>
      </c>
      <c r="I1000" s="21">
        <f>IF($A1000="",0,YEAR($A1000)*12+MONTH($A1000))</f>
        <v/>
      </c>
    </row>
    <row r="1001">
      <c r="A1001" s="16" t="n"/>
      <c r="B1001" s="17" t="n"/>
      <c r="C1001" s="17" t="n"/>
      <c r="D1001" s="18" t="n"/>
      <c r="E1001" s="18" t="n"/>
      <c r="F1001" s="17" t="n"/>
      <c r="G1001" s="19" t="n"/>
      <c r="H1001" s="20">
        <f>IF($A1001="","",MONTH($A1001)&amp;"/"&amp;YEAR($A1001))</f>
        <v/>
      </c>
      <c r="I1001" s="21">
        <f>IF($A1001="",0,YEAR($A1001)*12+MONTH($A1001))</f>
        <v/>
      </c>
    </row>
    <row r="1002">
      <c r="A1002" s="16" t="n"/>
      <c r="B1002" s="17" t="n"/>
      <c r="C1002" s="17" t="n"/>
      <c r="D1002" s="18" t="n"/>
      <c r="E1002" s="18" t="n"/>
      <c r="F1002" s="17" t="n"/>
      <c r="G1002" s="19" t="n"/>
      <c r="H1002" s="20">
        <f>IF($A1002="","",MONTH($A1002)&amp;"/"&amp;YEAR($A1002))</f>
        <v/>
      </c>
      <c r="I1002" s="21">
        <f>IF($A1002="",0,YEAR($A1002)*12+MONTH($A1002))</f>
        <v/>
      </c>
    </row>
    <row r="1003">
      <c r="A1003" s="16" t="n"/>
      <c r="B1003" s="17" t="n"/>
      <c r="C1003" s="17" t="n"/>
      <c r="D1003" s="18" t="n"/>
      <c r="E1003" s="18" t="n"/>
      <c r="F1003" s="17" t="n"/>
      <c r="G1003" s="19" t="n"/>
      <c r="H1003" s="20">
        <f>IF($A1003="","",MONTH($A1003)&amp;"/"&amp;YEAR($A1003))</f>
        <v/>
      </c>
      <c r="I1003" s="21">
        <f>IF($A1003="",0,YEAR($A1003)*12+MONTH($A1003))</f>
        <v/>
      </c>
    </row>
    <row r="1004">
      <c r="A1004" s="16" t="n"/>
      <c r="B1004" s="17" t="n"/>
      <c r="C1004" s="17" t="n"/>
      <c r="D1004" s="18" t="n"/>
      <c r="E1004" s="18" t="n"/>
      <c r="F1004" s="17" t="n"/>
      <c r="G1004" s="19" t="n"/>
      <c r="H1004" s="20">
        <f>IF($A1004="","",MONTH($A1004)&amp;"/"&amp;YEAR($A1004))</f>
        <v/>
      </c>
      <c r="I1004" s="21">
        <f>IF($A1004="",0,YEAR($A1004)*12+MONTH($A1004))</f>
        <v/>
      </c>
    </row>
    <row r="1005">
      <c r="A1005" s="16" t="n"/>
      <c r="B1005" s="17" t="n"/>
      <c r="C1005" s="17" t="n"/>
      <c r="D1005" s="18" t="n"/>
      <c r="E1005" s="18" t="n"/>
      <c r="F1005" s="17" t="n"/>
      <c r="G1005" s="19" t="n"/>
      <c r="H1005" s="20">
        <f>IF($A1005="","",MONTH($A1005)&amp;"/"&amp;YEAR($A1005))</f>
        <v/>
      </c>
      <c r="I1005" s="21">
        <f>IF($A1005="",0,YEAR($A1005)*12+MONTH($A1005))</f>
        <v/>
      </c>
    </row>
  </sheetData>
  <mergeCells count="2">
    <mergeCell ref="A1:I1"/>
    <mergeCell ref="A2:I2"/>
  </mergeCells>
  <conditionalFormatting sqref="A6:I1005">
    <cfRule type="cellIs" priority="1" operator="equal" dxfId="0" stopIfTrue="0">
      <formula>"PROJETADO"</formula>
    </cfRule>
  </conditionalFormatting>
  <dataValidations count="5">
    <dataValidation sqref="B6:B1005" showDropDown="0" showInputMessage="0" showErrorMessage="0" allowBlank="1" errorTitle="Tipo inválido" error="Escolha ENTRADA ou SAÍDA na lista." type="list">
      <formula1>=LISTAS!$H$6:$H$7</formula1>
    </dataValidation>
    <dataValidation sqref="C6:C1005" showDropDown="0" showInputMessage="0" showErrorMessage="0" allowBlank="1" errorTitle="Status inválido" error="Escolha REALIZADO (já aconteceu) ou PROJETADO (ainda vai acontecer)." type="list">
      <formula1>=LISTAS!$I$6:$I$7</formula1>
    </dataValidation>
    <dataValidation sqref="D6:D1005" showDropDown="0" showInputMessage="0" showErrorMessage="0" allowBlank="1" errorTitle="Categoria" error="Categoria não está na lista. Cadastre na aba LISTAS." type="list">
      <formula1>=LISTAS!$A$6:$A$45</formula1>
    </dataValidation>
    <dataValidation sqref="F6:F1005" showDropDown="0" showInputMessage="0" showErrorMessage="0" allowBlank="1" errorTitle="Meio de pagamento" error="Meio de pagamento não está na lista. Cadastre na aba LISTAS." type="list">
      <formula1>=LISTAS!$D$6:$D$17</formula1>
    </dataValidation>
    <dataValidation sqref="G6:G1005" showDropDown="0" showInputMessage="0" showErrorMessage="0" allowBlank="1" errorTitle="Valor inválido" error="O valor tem que ser maior que zero. Se é saída, escolha Tipo = SAÍDA.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M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24" customWidth="1" min="4" max="4"/>
    <col width="16" customWidth="1" min="5" max="5"/>
    <col width="10" customWidth="1" min="6" max="6"/>
    <col width="14" customWidth="1" min="7" max="7"/>
    <col width="13" customWidth="1" min="8" max="8"/>
    <col width="15" customWidth="1" min="9" max="9"/>
    <col width="13" customWidth="1" min="10" max="10"/>
    <col width="11" customWidth="1" min="11" max="11"/>
    <col width="15" customWidth="1" min="12" max="12"/>
    <col width="16" customWidth="1" min="13" max="13"/>
  </cols>
  <sheetData>
    <row r="1" ht="24" customHeight="1">
      <c r="A1" s="1" t="inlineStr">
        <is>
          <t>CARTÕES DE CRÉDITO — COMPRAS E PARCELAS</t>
        </is>
      </c>
    </row>
    <row r="2">
      <c r="A2" s="2" t="inlineStr">
        <is>
          <t>Digite a compra uma vez. A planilha divide nas parcelas e joga cada uma no mês certo. Não lance a fatura em LANÇAMENTOS.</t>
        </is>
      </c>
    </row>
    <row r="3">
      <c r="A3" s="10" t="inlineStr">
        <is>
          <t>Total comprado</t>
        </is>
      </c>
      <c r="B3" s="7" t="inlineStr">
        <is>
          <t>Já pago (até hoje)</t>
        </is>
      </c>
      <c r="C3" s="8" t="inlineStr">
        <is>
          <t>Falta pagar (saldo devedor)</t>
        </is>
      </c>
      <c r="D3" s="9" t="inlineStr">
        <is>
          <t>Mês de referência de hoje</t>
        </is>
      </c>
    </row>
    <row r="4">
      <c r="A4" s="22">
        <f>SUM($E$6:$E$65)</f>
        <v/>
      </c>
      <c r="B4" s="11">
        <f>SUM($L$6:$L$65)</f>
        <v/>
      </c>
      <c r="C4" s="12">
        <f>SUM($M$6:$M$65)</f>
        <v/>
      </c>
      <c r="D4" s="23">
        <f>MONTH(TODAY())&amp;"/"&amp;YEAR(TODAY())</f>
        <v/>
      </c>
    </row>
    <row r="5" ht="30" customHeight="1">
      <c r="A5" s="15" t="inlineStr">
        <is>
          <t>Data da compra</t>
        </is>
      </c>
      <c r="B5" s="15" t="inlineStr">
        <is>
          <t>Cartão</t>
        </is>
      </c>
      <c r="C5" s="15" t="inlineStr">
        <is>
          <t>Descrição</t>
        </is>
      </c>
      <c r="D5" s="15" t="inlineStr">
        <is>
          <t>Categoria</t>
        </is>
      </c>
      <c r="E5" s="15" t="inlineStr">
        <is>
          <t>Valor total (Gs.)</t>
        </is>
      </c>
      <c r="F5" s="15" t="inlineStr">
        <is>
          <t>Nº de parcelas</t>
        </is>
      </c>
      <c r="G5" s="15" t="inlineStr">
        <is>
          <t>1ª parcela (opcional)</t>
        </is>
      </c>
      <c r="H5" s="15" t="inlineStr">
        <is>
          <t>Início (auto)</t>
        </is>
      </c>
      <c r="I5" s="15" t="inlineStr">
        <is>
          <t>Valor da parcela (auto)</t>
        </is>
      </c>
      <c r="J5" s="15" t="inlineStr">
        <is>
          <t>Última parcela (auto)</t>
        </is>
      </c>
      <c r="K5" s="15" t="inlineStr">
        <is>
          <t>Índice (auto)</t>
        </is>
      </c>
      <c r="L5" s="15" t="inlineStr">
        <is>
          <t>Já pago (auto)</t>
        </is>
      </c>
      <c r="M5" s="15" t="inlineStr">
        <is>
          <t>Falta pagar (auto)</t>
        </is>
      </c>
    </row>
    <row r="6">
      <c r="A6" s="16" t="n"/>
      <c r="B6" s="17" t="n"/>
      <c r="C6" s="18" t="n"/>
      <c r="D6" s="18" t="n"/>
      <c r="E6" s="19" t="n"/>
      <c r="F6" s="24" t="n"/>
      <c r="G6" s="16" t="n"/>
      <c r="H6" s="25">
        <f>IF($A6="","",IF($G6&lt;&gt;"",$G6,DATE(YEAR($A6)+IF(MONTH($A6)=12,1,0),IF(MONTH($A6)=12,1,MONTH($A6)+1),1)))</f>
        <v/>
      </c>
      <c r="I6" s="26">
        <f>IF(OR($E6="",$F6=""),"",ROUND($E6/$F6,0))</f>
        <v/>
      </c>
      <c r="J6" s="20">
        <f>IF($K6=0,"",($K6+$F6-1-INT(($K6+$F6-2)/12)*12)&amp;"/"&amp;INT(($K6+$F6-2)/12))</f>
        <v/>
      </c>
      <c r="K6" s="21">
        <f>IF($H6="",0,YEAR($H6)*12+MONTH($H6))</f>
        <v/>
      </c>
      <c r="L6" s="26">
        <f>IF($K6=0,"",SUMPRODUCT((PARCELAS!$C6:$AL6&gt;0)*(PARCELAS!$C6:$AL6&lt;=YEAR(TODAY())*12+MONTH(TODAY()))*PARCELAS!$AM6:$BV6))</f>
        <v/>
      </c>
      <c r="M6" s="26">
        <f>IF($K6=0,"",$E6-$L6)</f>
        <v/>
      </c>
    </row>
    <row r="7">
      <c r="A7" s="16" t="n"/>
      <c r="B7" s="17" t="n"/>
      <c r="C7" s="18" t="n"/>
      <c r="D7" s="18" t="n"/>
      <c r="E7" s="19" t="n"/>
      <c r="F7" s="24" t="n"/>
      <c r="G7" s="16" t="n"/>
      <c r="H7" s="25">
        <f>IF($A7="","",IF($G7&lt;&gt;"",$G7,DATE(YEAR($A7)+IF(MONTH($A7)=12,1,0),IF(MONTH($A7)=12,1,MONTH($A7)+1),1)))</f>
        <v/>
      </c>
      <c r="I7" s="26">
        <f>IF(OR($E7="",$F7=""),"",ROUND($E7/$F7,0))</f>
        <v/>
      </c>
      <c r="J7" s="20">
        <f>IF($K7=0,"",($K7+$F7-1-INT(($K7+$F7-2)/12)*12)&amp;"/"&amp;INT(($K7+$F7-2)/12))</f>
        <v/>
      </c>
      <c r="K7" s="21">
        <f>IF($H7="",0,YEAR($H7)*12+MONTH($H7))</f>
        <v/>
      </c>
      <c r="L7" s="26">
        <f>IF($K7=0,"",SUMPRODUCT((PARCELAS!$C7:$AL7&gt;0)*(PARCELAS!$C7:$AL7&lt;=YEAR(TODAY())*12+MONTH(TODAY()))*PARCELAS!$AM7:$BV7))</f>
        <v/>
      </c>
      <c r="M7" s="26">
        <f>IF($K7=0,"",$E7-$L7)</f>
        <v/>
      </c>
    </row>
    <row r="8">
      <c r="A8" s="16" t="n"/>
      <c r="B8" s="17" t="n"/>
      <c r="C8" s="18" t="n"/>
      <c r="D8" s="18" t="n"/>
      <c r="E8" s="19" t="n"/>
      <c r="F8" s="24" t="n"/>
      <c r="G8" s="16" t="n"/>
      <c r="H8" s="25">
        <f>IF($A8="","",IF($G8&lt;&gt;"",$G8,DATE(YEAR($A8)+IF(MONTH($A8)=12,1,0),IF(MONTH($A8)=12,1,MONTH($A8)+1),1)))</f>
        <v/>
      </c>
      <c r="I8" s="26">
        <f>IF(OR($E8="",$F8=""),"",ROUND($E8/$F8,0))</f>
        <v/>
      </c>
      <c r="J8" s="20">
        <f>IF($K8=0,"",($K8+$F8-1-INT(($K8+$F8-2)/12)*12)&amp;"/"&amp;INT(($K8+$F8-2)/12))</f>
        <v/>
      </c>
      <c r="K8" s="21">
        <f>IF($H8="",0,YEAR($H8)*12+MONTH($H8))</f>
        <v/>
      </c>
      <c r="L8" s="26">
        <f>IF($K8=0,"",SUMPRODUCT((PARCELAS!$C8:$AL8&gt;0)*(PARCELAS!$C8:$AL8&lt;=YEAR(TODAY())*12+MONTH(TODAY()))*PARCELAS!$AM8:$BV8))</f>
        <v/>
      </c>
      <c r="M8" s="26">
        <f>IF($K8=0,"",$E8-$L8)</f>
        <v/>
      </c>
    </row>
    <row r="9">
      <c r="A9" s="16" t="n"/>
      <c r="B9" s="17" t="n"/>
      <c r="C9" s="18" t="n"/>
      <c r="D9" s="18" t="n"/>
      <c r="E9" s="19" t="n"/>
      <c r="F9" s="24" t="n"/>
      <c r="G9" s="16" t="n"/>
      <c r="H9" s="25">
        <f>IF($A9="","",IF($G9&lt;&gt;"",$G9,DATE(YEAR($A9)+IF(MONTH($A9)=12,1,0),IF(MONTH($A9)=12,1,MONTH($A9)+1),1)))</f>
        <v/>
      </c>
      <c r="I9" s="26">
        <f>IF(OR($E9="",$F9=""),"",ROUND($E9/$F9,0))</f>
        <v/>
      </c>
      <c r="J9" s="20">
        <f>IF($K9=0,"",($K9+$F9-1-INT(($K9+$F9-2)/12)*12)&amp;"/"&amp;INT(($K9+$F9-2)/12))</f>
        <v/>
      </c>
      <c r="K9" s="21">
        <f>IF($H9="",0,YEAR($H9)*12+MONTH($H9))</f>
        <v/>
      </c>
      <c r="L9" s="26">
        <f>IF($K9=0,"",SUMPRODUCT((PARCELAS!$C9:$AL9&gt;0)*(PARCELAS!$C9:$AL9&lt;=YEAR(TODAY())*12+MONTH(TODAY()))*PARCELAS!$AM9:$BV9))</f>
        <v/>
      </c>
      <c r="M9" s="26">
        <f>IF($K9=0,"",$E9-$L9)</f>
        <v/>
      </c>
    </row>
    <row r="10">
      <c r="A10" s="16" t="n"/>
      <c r="B10" s="17" t="n"/>
      <c r="C10" s="18" t="n"/>
      <c r="D10" s="18" t="n"/>
      <c r="E10" s="19" t="n"/>
      <c r="F10" s="24" t="n"/>
      <c r="G10" s="16" t="n"/>
      <c r="H10" s="25">
        <f>IF($A10="","",IF($G10&lt;&gt;"",$G10,DATE(YEAR($A10)+IF(MONTH($A10)=12,1,0),IF(MONTH($A10)=12,1,MONTH($A10)+1),1)))</f>
        <v/>
      </c>
      <c r="I10" s="26">
        <f>IF(OR($E10="",$F10=""),"",ROUND($E10/$F10,0))</f>
        <v/>
      </c>
      <c r="J10" s="20">
        <f>IF($K10=0,"",($K10+$F10-1-INT(($K10+$F10-2)/12)*12)&amp;"/"&amp;INT(($K10+$F10-2)/12))</f>
        <v/>
      </c>
      <c r="K10" s="21">
        <f>IF($H10="",0,YEAR($H10)*12+MONTH($H10))</f>
        <v/>
      </c>
      <c r="L10" s="26">
        <f>IF($K10=0,"",SUMPRODUCT((PARCELAS!$C10:$AL10&gt;0)*(PARCELAS!$C10:$AL10&lt;=YEAR(TODAY())*12+MONTH(TODAY()))*PARCELAS!$AM10:$BV10))</f>
        <v/>
      </c>
      <c r="M10" s="26">
        <f>IF($K10=0,"",$E10-$L10)</f>
        <v/>
      </c>
    </row>
    <row r="11">
      <c r="A11" s="16" t="n"/>
      <c r="B11" s="17" t="n"/>
      <c r="C11" s="18" t="n"/>
      <c r="D11" s="18" t="n"/>
      <c r="E11" s="19" t="n"/>
      <c r="F11" s="24" t="n"/>
      <c r="G11" s="16" t="n"/>
      <c r="H11" s="25">
        <f>IF($A11="","",IF($G11&lt;&gt;"",$G11,DATE(YEAR($A11)+IF(MONTH($A11)=12,1,0),IF(MONTH($A11)=12,1,MONTH($A11)+1),1)))</f>
        <v/>
      </c>
      <c r="I11" s="26">
        <f>IF(OR($E11="",$F11=""),"",ROUND($E11/$F11,0))</f>
        <v/>
      </c>
      <c r="J11" s="20">
        <f>IF($K11=0,"",($K11+$F11-1-INT(($K11+$F11-2)/12)*12)&amp;"/"&amp;INT(($K11+$F11-2)/12))</f>
        <v/>
      </c>
      <c r="K11" s="21">
        <f>IF($H11="",0,YEAR($H11)*12+MONTH($H11))</f>
        <v/>
      </c>
      <c r="L11" s="26">
        <f>IF($K11=0,"",SUMPRODUCT((PARCELAS!$C11:$AL11&gt;0)*(PARCELAS!$C11:$AL11&lt;=YEAR(TODAY())*12+MONTH(TODAY()))*PARCELAS!$AM11:$BV11))</f>
        <v/>
      </c>
      <c r="M11" s="26">
        <f>IF($K11=0,"",$E11-$L11)</f>
        <v/>
      </c>
    </row>
    <row r="12">
      <c r="A12" s="16" t="n"/>
      <c r="B12" s="17" t="n"/>
      <c r="C12" s="18" t="n"/>
      <c r="D12" s="18" t="n"/>
      <c r="E12" s="19" t="n"/>
      <c r="F12" s="24" t="n"/>
      <c r="G12" s="16" t="n"/>
      <c r="H12" s="25">
        <f>IF($A12="","",IF($G12&lt;&gt;"",$G12,DATE(YEAR($A12)+IF(MONTH($A12)=12,1,0),IF(MONTH($A12)=12,1,MONTH($A12)+1),1)))</f>
        <v/>
      </c>
      <c r="I12" s="26">
        <f>IF(OR($E12="",$F12=""),"",ROUND($E12/$F12,0))</f>
        <v/>
      </c>
      <c r="J12" s="20">
        <f>IF($K12=0,"",($K12+$F12-1-INT(($K12+$F12-2)/12)*12)&amp;"/"&amp;INT(($K12+$F12-2)/12))</f>
        <v/>
      </c>
      <c r="K12" s="21">
        <f>IF($H12="",0,YEAR($H12)*12+MONTH($H12))</f>
        <v/>
      </c>
      <c r="L12" s="26">
        <f>IF($K12=0,"",SUMPRODUCT((PARCELAS!$C12:$AL12&gt;0)*(PARCELAS!$C12:$AL12&lt;=YEAR(TODAY())*12+MONTH(TODAY()))*PARCELAS!$AM12:$BV12))</f>
        <v/>
      </c>
      <c r="M12" s="26">
        <f>IF($K12=0,"",$E12-$L12)</f>
        <v/>
      </c>
    </row>
    <row r="13">
      <c r="A13" s="16" t="n"/>
      <c r="B13" s="17" t="n"/>
      <c r="C13" s="18" t="n"/>
      <c r="D13" s="18" t="n"/>
      <c r="E13" s="19" t="n"/>
      <c r="F13" s="24" t="n"/>
      <c r="G13" s="16" t="n"/>
      <c r="H13" s="25">
        <f>IF($A13="","",IF($G13&lt;&gt;"",$G13,DATE(YEAR($A13)+IF(MONTH($A13)=12,1,0),IF(MONTH($A13)=12,1,MONTH($A13)+1),1)))</f>
        <v/>
      </c>
      <c r="I13" s="26">
        <f>IF(OR($E13="",$F13=""),"",ROUND($E13/$F13,0))</f>
        <v/>
      </c>
      <c r="J13" s="20">
        <f>IF($K13=0,"",($K13+$F13-1-INT(($K13+$F13-2)/12)*12)&amp;"/"&amp;INT(($K13+$F13-2)/12))</f>
        <v/>
      </c>
      <c r="K13" s="21">
        <f>IF($H13="",0,YEAR($H13)*12+MONTH($H13))</f>
        <v/>
      </c>
      <c r="L13" s="26">
        <f>IF($K13=0,"",SUMPRODUCT((PARCELAS!$C13:$AL13&gt;0)*(PARCELAS!$C13:$AL13&lt;=YEAR(TODAY())*12+MONTH(TODAY()))*PARCELAS!$AM13:$BV13))</f>
        <v/>
      </c>
      <c r="M13" s="26">
        <f>IF($K13=0,"",$E13-$L13)</f>
        <v/>
      </c>
    </row>
    <row r="14">
      <c r="A14" s="16" t="n"/>
      <c r="B14" s="17" t="n"/>
      <c r="C14" s="18" t="n"/>
      <c r="D14" s="18" t="n"/>
      <c r="E14" s="19" t="n"/>
      <c r="F14" s="24" t="n"/>
      <c r="G14" s="16" t="n"/>
      <c r="H14" s="25">
        <f>IF($A14="","",IF($G14&lt;&gt;"",$G14,DATE(YEAR($A14)+IF(MONTH($A14)=12,1,0),IF(MONTH($A14)=12,1,MONTH($A14)+1),1)))</f>
        <v/>
      </c>
      <c r="I14" s="26">
        <f>IF(OR($E14="",$F14=""),"",ROUND($E14/$F14,0))</f>
        <v/>
      </c>
      <c r="J14" s="20">
        <f>IF($K14=0,"",($K14+$F14-1-INT(($K14+$F14-2)/12)*12)&amp;"/"&amp;INT(($K14+$F14-2)/12))</f>
        <v/>
      </c>
      <c r="K14" s="21">
        <f>IF($H14="",0,YEAR($H14)*12+MONTH($H14))</f>
        <v/>
      </c>
      <c r="L14" s="26">
        <f>IF($K14=0,"",SUMPRODUCT((PARCELAS!$C14:$AL14&gt;0)*(PARCELAS!$C14:$AL14&lt;=YEAR(TODAY())*12+MONTH(TODAY()))*PARCELAS!$AM14:$BV14))</f>
        <v/>
      </c>
      <c r="M14" s="26">
        <f>IF($K14=0,"",$E14-$L14)</f>
        <v/>
      </c>
    </row>
    <row r="15">
      <c r="A15" s="16" t="n"/>
      <c r="B15" s="17" t="n"/>
      <c r="C15" s="18" t="n"/>
      <c r="D15" s="18" t="n"/>
      <c r="E15" s="19" t="n"/>
      <c r="F15" s="24" t="n"/>
      <c r="G15" s="16" t="n"/>
      <c r="H15" s="25">
        <f>IF($A15="","",IF($G15&lt;&gt;"",$G15,DATE(YEAR($A15)+IF(MONTH($A15)=12,1,0),IF(MONTH($A15)=12,1,MONTH($A15)+1),1)))</f>
        <v/>
      </c>
      <c r="I15" s="26">
        <f>IF(OR($E15="",$F15=""),"",ROUND($E15/$F15,0))</f>
        <v/>
      </c>
      <c r="J15" s="20">
        <f>IF($K15=0,"",($K15+$F15-1-INT(($K15+$F15-2)/12)*12)&amp;"/"&amp;INT(($K15+$F15-2)/12))</f>
        <v/>
      </c>
      <c r="K15" s="21">
        <f>IF($H15="",0,YEAR($H15)*12+MONTH($H15))</f>
        <v/>
      </c>
      <c r="L15" s="26">
        <f>IF($K15=0,"",SUMPRODUCT((PARCELAS!$C15:$AL15&gt;0)*(PARCELAS!$C15:$AL15&lt;=YEAR(TODAY())*12+MONTH(TODAY()))*PARCELAS!$AM15:$BV15))</f>
        <v/>
      </c>
      <c r="M15" s="26">
        <f>IF($K15=0,"",$E15-$L15)</f>
        <v/>
      </c>
    </row>
    <row r="16">
      <c r="A16" s="16" t="n"/>
      <c r="B16" s="17" t="n"/>
      <c r="C16" s="18" t="n"/>
      <c r="D16" s="18" t="n"/>
      <c r="E16" s="19" t="n"/>
      <c r="F16" s="24" t="n"/>
      <c r="G16" s="16" t="n"/>
      <c r="H16" s="25">
        <f>IF($A16="","",IF($G16&lt;&gt;"",$G16,DATE(YEAR($A16)+IF(MONTH($A16)=12,1,0),IF(MONTH($A16)=12,1,MONTH($A16)+1),1)))</f>
        <v/>
      </c>
      <c r="I16" s="26">
        <f>IF(OR($E16="",$F16=""),"",ROUND($E16/$F16,0))</f>
        <v/>
      </c>
      <c r="J16" s="20">
        <f>IF($K16=0,"",($K16+$F16-1-INT(($K16+$F16-2)/12)*12)&amp;"/"&amp;INT(($K16+$F16-2)/12))</f>
        <v/>
      </c>
      <c r="K16" s="21">
        <f>IF($H16="",0,YEAR($H16)*12+MONTH($H16))</f>
        <v/>
      </c>
      <c r="L16" s="26">
        <f>IF($K16=0,"",SUMPRODUCT((PARCELAS!$C16:$AL16&gt;0)*(PARCELAS!$C16:$AL16&lt;=YEAR(TODAY())*12+MONTH(TODAY()))*PARCELAS!$AM16:$BV16))</f>
        <v/>
      </c>
      <c r="M16" s="26">
        <f>IF($K16=0,"",$E16-$L16)</f>
        <v/>
      </c>
    </row>
    <row r="17">
      <c r="A17" s="16" t="n"/>
      <c r="B17" s="17" t="n"/>
      <c r="C17" s="18" t="n"/>
      <c r="D17" s="18" t="n"/>
      <c r="E17" s="19" t="n"/>
      <c r="F17" s="24" t="n"/>
      <c r="G17" s="16" t="n"/>
      <c r="H17" s="25">
        <f>IF($A17="","",IF($G17&lt;&gt;"",$G17,DATE(YEAR($A17)+IF(MONTH($A17)=12,1,0),IF(MONTH($A17)=12,1,MONTH($A17)+1),1)))</f>
        <v/>
      </c>
      <c r="I17" s="26">
        <f>IF(OR($E17="",$F17=""),"",ROUND($E17/$F17,0))</f>
        <v/>
      </c>
      <c r="J17" s="20">
        <f>IF($K17=0,"",($K17+$F17-1-INT(($K17+$F17-2)/12)*12)&amp;"/"&amp;INT(($K17+$F17-2)/12))</f>
        <v/>
      </c>
      <c r="K17" s="21">
        <f>IF($H17="",0,YEAR($H17)*12+MONTH($H17))</f>
        <v/>
      </c>
      <c r="L17" s="26">
        <f>IF($K17=0,"",SUMPRODUCT((PARCELAS!$C17:$AL17&gt;0)*(PARCELAS!$C17:$AL17&lt;=YEAR(TODAY())*12+MONTH(TODAY()))*PARCELAS!$AM17:$BV17))</f>
        <v/>
      </c>
      <c r="M17" s="26">
        <f>IF($K17=0,"",$E17-$L17)</f>
        <v/>
      </c>
    </row>
    <row r="18">
      <c r="A18" s="16" t="n"/>
      <c r="B18" s="17" t="n"/>
      <c r="C18" s="18" t="n"/>
      <c r="D18" s="18" t="n"/>
      <c r="E18" s="19" t="n"/>
      <c r="F18" s="24" t="n"/>
      <c r="G18" s="16" t="n"/>
      <c r="H18" s="25">
        <f>IF($A18="","",IF($G18&lt;&gt;"",$G18,DATE(YEAR($A18)+IF(MONTH($A18)=12,1,0),IF(MONTH($A18)=12,1,MONTH($A18)+1),1)))</f>
        <v/>
      </c>
      <c r="I18" s="26">
        <f>IF(OR($E18="",$F18=""),"",ROUND($E18/$F18,0))</f>
        <v/>
      </c>
      <c r="J18" s="20">
        <f>IF($K18=0,"",($K18+$F18-1-INT(($K18+$F18-2)/12)*12)&amp;"/"&amp;INT(($K18+$F18-2)/12))</f>
        <v/>
      </c>
      <c r="K18" s="21">
        <f>IF($H18="",0,YEAR($H18)*12+MONTH($H18))</f>
        <v/>
      </c>
      <c r="L18" s="26">
        <f>IF($K18=0,"",SUMPRODUCT((PARCELAS!$C18:$AL18&gt;0)*(PARCELAS!$C18:$AL18&lt;=YEAR(TODAY())*12+MONTH(TODAY()))*PARCELAS!$AM18:$BV18))</f>
        <v/>
      </c>
      <c r="M18" s="26">
        <f>IF($K18=0,"",$E18-$L18)</f>
        <v/>
      </c>
    </row>
    <row r="19">
      <c r="A19" s="16" t="n"/>
      <c r="B19" s="17" t="n"/>
      <c r="C19" s="18" t="n"/>
      <c r="D19" s="18" t="n"/>
      <c r="E19" s="19" t="n"/>
      <c r="F19" s="24" t="n"/>
      <c r="G19" s="16" t="n"/>
      <c r="H19" s="25">
        <f>IF($A19="","",IF($G19&lt;&gt;"",$G19,DATE(YEAR($A19)+IF(MONTH($A19)=12,1,0),IF(MONTH($A19)=12,1,MONTH($A19)+1),1)))</f>
        <v/>
      </c>
      <c r="I19" s="26">
        <f>IF(OR($E19="",$F19=""),"",ROUND($E19/$F19,0))</f>
        <v/>
      </c>
      <c r="J19" s="20">
        <f>IF($K19=0,"",($K19+$F19-1-INT(($K19+$F19-2)/12)*12)&amp;"/"&amp;INT(($K19+$F19-2)/12))</f>
        <v/>
      </c>
      <c r="K19" s="21">
        <f>IF($H19="",0,YEAR($H19)*12+MONTH($H19))</f>
        <v/>
      </c>
      <c r="L19" s="26">
        <f>IF($K19=0,"",SUMPRODUCT((PARCELAS!$C19:$AL19&gt;0)*(PARCELAS!$C19:$AL19&lt;=YEAR(TODAY())*12+MONTH(TODAY()))*PARCELAS!$AM19:$BV19))</f>
        <v/>
      </c>
      <c r="M19" s="26">
        <f>IF($K19=0,"",$E19-$L19)</f>
        <v/>
      </c>
    </row>
    <row r="20">
      <c r="A20" s="16" t="n"/>
      <c r="B20" s="17" t="n"/>
      <c r="C20" s="18" t="n"/>
      <c r="D20" s="18" t="n"/>
      <c r="E20" s="19" t="n"/>
      <c r="F20" s="24" t="n"/>
      <c r="G20" s="16" t="n"/>
      <c r="H20" s="25">
        <f>IF($A20="","",IF($G20&lt;&gt;"",$G20,DATE(YEAR($A20)+IF(MONTH($A20)=12,1,0),IF(MONTH($A20)=12,1,MONTH($A20)+1),1)))</f>
        <v/>
      </c>
      <c r="I20" s="26">
        <f>IF(OR($E20="",$F20=""),"",ROUND($E20/$F20,0))</f>
        <v/>
      </c>
      <c r="J20" s="20">
        <f>IF($K20=0,"",($K20+$F20-1-INT(($K20+$F20-2)/12)*12)&amp;"/"&amp;INT(($K20+$F20-2)/12))</f>
        <v/>
      </c>
      <c r="K20" s="21">
        <f>IF($H20="",0,YEAR($H20)*12+MONTH($H20))</f>
        <v/>
      </c>
      <c r="L20" s="26">
        <f>IF($K20=0,"",SUMPRODUCT((PARCELAS!$C20:$AL20&gt;0)*(PARCELAS!$C20:$AL20&lt;=YEAR(TODAY())*12+MONTH(TODAY()))*PARCELAS!$AM20:$BV20))</f>
        <v/>
      </c>
      <c r="M20" s="26">
        <f>IF($K20=0,"",$E20-$L20)</f>
        <v/>
      </c>
    </row>
    <row r="21">
      <c r="A21" s="16" t="n"/>
      <c r="B21" s="17" t="n"/>
      <c r="C21" s="18" t="n"/>
      <c r="D21" s="18" t="n"/>
      <c r="E21" s="19" t="n"/>
      <c r="F21" s="24" t="n"/>
      <c r="G21" s="16" t="n"/>
      <c r="H21" s="25">
        <f>IF($A21="","",IF($G21&lt;&gt;"",$G21,DATE(YEAR($A21)+IF(MONTH($A21)=12,1,0),IF(MONTH($A21)=12,1,MONTH($A21)+1),1)))</f>
        <v/>
      </c>
      <c r="I21" s="26">
        <f>IF(OR($E21="",$F21=""),"",ROUND($E21/$F21,0))</f>
        <v/>
      </c>
      <c r="J21" s="20">
        <f>IF($K21=0,"",($K21+$F21-1-INT(($K21+$F21-2)/12)*12)&amp;"/"&amp;INT(($K21+$F21-2)/12))</f>
        <v/>
      </c>
      <c r="K21" s="21">
        <f>IF($H21="",0,YEAR($H21)*12+MONTH($H21))</f>
        <v/>
      </c>
      <c r="L21" s="26">
        <f>IF($K21=0,"",SUMPRODUCT((PARCELAS!$C21:$AL21&gt;0)*(PARCELAS!$C21:$AL21&lt;=YEAR(TODAY())*12+MONTH(TODAY()))*PARCELAS!$AM21:$BV21))</f>
        <v/>
      </c>
      <c r="M21" s="26">
        <f>IF($K21=0,"",$E21-$L21)</f>
        <v/>
      </c>
    </row>
    <row r="22">
      <c r="A22" s="16" t="n"/>
      <c r="B22" s="17" t="n"/>
      <c r="C22" s="18" t="n"/>
      <c r="D22" s="18" t="n"/>
      <c r="E22" s="19" t="n"/>
      <c r="F22" s="24" t="n"/>
      <c r="G22" s="16" t="n"/>
      <c r="H22" s="25">
        <f>IF($A22="","",IF($G22&lt;&gt;"",$G22,DATE(YEAR($A22)+IF(MONTH($A22)=12,1,0),IF(MONTH($A22)=12,1,MONTH($A22)+1),1)))</f>
        <v/>
      </c>
      <c r="I22" s="26">
        <f>IF(OR($E22="",$F22=""),"",ROUND($E22/$F22,0))</f>
        <v/>
      </c>
      <c r="J22" s="20">
        <f>IF($K22=0,"",($K22+$F22-1-INT(($K22+$F22-2)/12)*12)&amp;"/"&amp;INT(($K22+$F22-2)/12))</f>
        <v/>
      </c>
      <c r="K22" s="21">
        <f>IF($H22="",0,YEAR($H22)*12+MONTH($H22))</f>
        <v/>
      </c>
      <c r="L22" s="26">
        <f>IF($K22=0,"",SUMPRODUCT((PARCELAS!$C22:$AL22&gt;0)*(PARCELAS!$C22:$AL22&lt;=YEAR(TODAY())*12+MONTH(TODAY()))*PARCELAS!$AM22:$BV22))</f>
        <v/>
      </c>
      <c r="M22" s="26">
        <f>IF($K22=0,"",$E22-$L22)</f>
        <v/>
      </c>
    </row>
    <row r="23">
      <c r="A23" s="16" t="n"/>
      <c r="B23" s="17" t="n"/>
      <c r="C23" s="18" t="n"/>
      <c r="D23" s="18" t="n"/>
      <c r="E23" s="19" t="n"/>
      <c r="F23" s="24" t="n"/>
      <c r="G23" s="16" t="n"/>
      <c r="H23" s="25">
        <f>IF($A23="","",IF($G23&lt;&gt;"",$G23,DATE(YEAR($A23)+IF(MONTH($A23)=12,1,0),IF(MONTH($A23)=12,1,MONTH($A23)+1),1)))</f>
        <v/>
      </c>
      <c r="I23" s="26">
        <f>IF(OR($E23="",$F23=""),"",ROUND($E23/$F23,0))</f>
        <v/>
      </c>
      <c r="J23" s="20">
        <f>IF($K23=0,"",($K23+$F23-1-INT(($K23+$F23-2)/12)*12)&amp;"/"&amp;INT(($K23+$F23-2)/12))</f>
        <v/>
      </c>
      <c r="K23" s="21">
        <f>IF($H23="",0,YEAR($H23)*12+MONTH($H23))</f>
        <v/>
      </c>
      <c r="L23" s="26">
        <f>IF($K23=0,"",SUMPRODUCT((PARCELAS!$C23:$AL23&gt;0)*(PARCELAS!$C23:$AL23&lt;=YEAR(TODAY())*12+MONTH(TODAY()))*PARCELAS!$AM23:$BV23))</f>
        <v/>
      </c>
      <c r="M23" s="26">
        <f>IF($K23=0,"",$E23-$L23)</f>
        <v/>
      </c>
    </row>
    <row r="24">
      <c r="A24" s="16" t="n"/>
      <c r="B24" s="17" t="n"/>
      <c r="C24" s="18" t="n"/>
      <c r="D24" s="18" t="n"/>
      <c r="E24" s="19" t="n"/>
      <c r="F24" s="24" t="n"/>
      <c r="G24" s="16" t="n"/>
      <c r="H24" s="25">
        <f>IF($A24="","",IF($G24&lt;&gt;"",$G24,DATE(YEAR($A24)+IF(MONTH($A24)=12,1,0),IF(MONTH($A24)=12,1,MONTH($A24)+1),1)))</f>
        <v/>
      </c>
      <c r="I24" s="26">
        <f>IF(OR($E24="",$F24=""),"",ROUND($E24/$F24,0))</f>
        <v/>
      </c>
      <c r="J24" s="20">
        <f>IF($K24=0,"",($K24+$F24-1-INT(($K24+$F24-2)/12)*12)&amp;"/"&amp;INT(($K24+$F24-2)/12))</f>
        <v/>
      </c>
      <c r="K24" s="21">
        <f>IF($H24="",0,YEAR($H24)*12+MONTH($H24))</f>
        <v/>
      </c>
      <c r="L24" s="26">
        <f>IF($K24=0,"",SUMPRODUCT((PARCELAS!$C24:$AL24&gt;0)*(PARCELAS!$C24:$AL24&lt;=YEAR(TODAY())*12+MONTH(TODAY()))*PARCELAS!$AM24:$BV24))</f>
        <v/>
      </c>
      <c r="M24" s="26">
        <f>IF($K24=0,"",$E24-$L24)</f>
        <v/>
      </c>
    </row>
    <row r="25">
      <c r="A25" s="16" t="n"/>
      <c r="B25" s="17" t="n"/>
      <c r="C25" s="18" t="n"/>
      <c r="D25" s="18" t="n"/>
      <c r="E25" s="19" t="n"/>
      <c r="F25" s="24" t="n"/>
      <c r="G25" s="16" t="n"/>
      <c r="H25" s="25">
        <f>IF($A25="","",IF($G25&lt;&gt;"",$G25,DATE(YEAR($A25)+IF(MONTH($A25)=12,1,0),IF(MONTH($A25)=12,1,MONTH($A25)+1),1)))</f>
        <v/>
      </c>
      <c r="I25" s="26">
        <f>IF(OR($E25="",$F25=""),"",ROUND($E25/$F25,0))</f>
        <v/>
      </c>
      <c r="J25" s="20">
        <f>IF($K25=0,"",($K25+$F25-1-INT(($K25+$F25-2)/12)*12)&amp;"/"&amp;INT(($K25+$F25-2)/12))</f>
        <v/>
      </c>
      <c r="K25" s="21">
        <f>IF($H25="",0,YEAR($H25)*12+MONTH($H25))</f>
        <v/>
      </c>
      <c r="L25" s="26">
        <f>IF($K25=0,"",SUMPRODUCT((PARCELAS!$C25:$AL25&gt;0)*(PARCELAS!$C25:$AL25&lt;=YEAR(TODAY())*12+MONTH(TODAY()))*PARCELAS!$AM25:$BV25))</f>
        <v/>
      </c>
      <c r="M25" s="26">
        <f>IF($K25=0,"",$E25-$L25)</f>
        <v/>
      </c>
    </row>
    <row r="26">
      <c r="A26" s="16" t="n"/>
      <c r="B26" s="17" t="n"/>
      <c r="C26" s="18" t="n"/>
      <c r="D26" s="18" t="n"/>
      <c r="E26" s="19" t="n"/>
      <c r="F26" s="24" t="n"/>
      <c r="G26" s="16" t="n"/>
      <c r="H26" s="25">
        <f>IF($A26="","",IF($G26&lt;&gt;"",$G26,DATE(YEAR($A26)+IF(MONTH($A26)=12,1,0),IF(MONTH($A26)=12,1,MONTH($A26)+1),1)))</f>
        <v/>
      </c>
      <c r="I26" s="26">
        <f>IF(OR($E26="",$F26=""),"",ROUND($E26/$F26,0))</f>
        <v/>
      </c>
      <c r="J26" s="20">
        <f>IF($K26=0,"",($K26+$F26-1-INT(($K26+$F26-2)/12)*12)&amp;"/"&amp;INT(($K26+$F26-2)/12))</f>
        <v/>
      </c>
      <c r="K26" s="21">
        <f>IF($H26="",0,YEAR($H26)*12+MONTH($H26))</f>
        <v/>
      </c>
      <c r="L26" s="26">
        <f>IF($K26=0,"",SUMPRODUCT((PARCELAS!$C26:$AL26&gt;0)*(PARCELAS!$C26:$AL26&lt;=YEAR(TODAY())*12+MONTH(TODAY()))*PARCELAS!$AM26:$BV26))</f>
        <v/>
      </c>
      <c r="M26" s="26">
        <f>IF($K26=0,"",$E26-$L26)</f>
        <v/>
      </c>
    </row>
    <row r="27">
      <c r="A27" s="16" t="n"/>
      <c r="B27" s="17" t="n"/>
      <c r="C27" s="18" t="n"/>
      <c r="D27" s="18" t="n"/>
      <c r="E27" s="19" t="n"/>
      <c r="F27" s="24" t="n"/>
      <c r="G27" s="16" t="n"/>
      <c r="H27" s="25">
        <f>IF($A27="","",IF($G27&lt;&gt;"",$G27,DATE(YEAR($A27)+IF(MONTH($A27)=12,1,0),IF(MONTH($A27)=12,1,MONTH($A27)+1),1)))</f>
        <v/>
      </c>
      <c r="I27" s="26">
        <f>IF(OR($E27="",$F27=""),"",ROUND($E27/$F27,0))</f>
        <v/>
      </c>
      <c r="J27" s="20">
        <f>IF($K27=0,"",($K27+$F27-1-INT(($K27+$F27-2)/12)*12)&amp;"/"&amp;INT(($K27+$F27-2)/12))</f>
        <v/>
      </c>
      <c r="K27" s="21">
        <f>IF($H27="",0,YEAR($H27)*12+MONTH($H27))</f>
        <v/>
      </c>
      <c r="L27" s="26">
        <f>IF($K27=0,"",SUMPRODUCT((PARCELAS!$C27:$AL27&gt;0)*(PARCELAS!$C27:$AL27&lt;=YEAR(TODAY())*12+MONTH(TODAY()))*PARCELAS!$AM27:$BV27))</f>
        <v/>
      </c>
      <c r="M27" s="26">
        <f>IF($K27=0,"",$E27-$L27)</f>
        <v/>
      </c>
    </row>
    <row r="28">
      <c r="A28" s="16" t="n"/>
      <c r="B28" s="17" t="n"/>
      <c r="C28" s="18" t="n"/>
      <c r="D28" s="18" t="n"/>
      <c r="E28" s="19" t="n"/>
      <c r="F28" s="24" t="n"/>
      <c r="G28" s="16" t="n"/>
      <c r="H28" s="25">
        <f>IF($A28="","",IF($G28&lt;&gt;"",$G28,DATE(YEAR($A28)+IF(MONTH($A28)=12,1,0),IF(MONTH($A28)=12,1,MONTH($A28)+1),1)))</f>
        <v/>
      </c>
      <c r="I28" s="26">
        <f>IF(OR($E28="",$F28=""),"",ROUND($E28/$F28,0))</f>
        <v/>
      </c>
      <c r="J28" s="20">
        <f>IF($K28=0,"",($K28+$F28-1-INT(($K28+$F28-2)/12)*12)&amp;"/"&amp;INT(($K28+$F28-2)/12))</f>
        <v/>
      </c>
      <c r="K28" s="21">
        <f>IF($H28="",0,YEAR($H28)*12+MONTH($H28))</f>
        <v/>
      </c>
      <c r="L28" s="26">
        <f>IF($K28=0,"",SUMPRODUCT((PARCELAS!$C28:$AL28&gt;0)*(PARCELAS!$C28:$AL28&lt;=YEAR(TODAY())*12+MONTH(TODAY()))*PARCELAS!$AM28:$BV28))</f>
        <v/>
      </c>
      <c r="M28" s="26">
        <f>IF($K28=0,"",$E28-$L28)</f>
        <v/>
      </c>
    </row>
    <row r="29">
      <c r="A29" s="16" t="n"/>
      <c r="B29" s="17" t="n"/>
      <c r="C29" s="18" t="n"/>
      <c r="D29" s="18" t="n"/>
      <c r="E29" s="19" t="n"/>
      <c r="F29" s="24" t="n"/>
      <c r="G29" s="16" t="n"/>
      <c r="H29" s="25">
        <f>IF($A29="","",IF($G29&lt;&gt;"",$G29,DATE(YEAR($A29)+IF(MONTH($A29)=12,1,0),IF(MONTH($A29)=12,1,MONTH($A29)+1),1)))</f>
        <v/>
      </c>
      <c r="I29" s="26">
        <f>IF(OR($E29="",$F29=""),"",ROUND($E29/$F29,0))</f>
        <v/>
      </c>
      <c r="J29" s="20">
        <f>IF($K29=0,"",($K29+$F29-1-INT(($K29+$F29-2)/12)*12)&amp;"/"&amp;INT(($K29+$F29-2)/12))</f>
        <v/>
      </c>
      <c r="K29" s="21">
        <f>IF($H29="",0,YEAR($H29)*12+MONTH($H29))</f>
        <v/>
      </c>
      <c r="L29" s="26">
        <f>IF($K29=0,"",SUMPRODUCT((PARCELAS!$C29:$AL29&gt;0)*(PARCELAS!$C29:$AL29&lt;=YEAR(TODAY())*12+MONTH(TODAY()))*PARCELAS!$AM29:$BV29))</f>
        <v/>
      </c>
      <c r="M29" s="26">
        <f>IF($K29=0,"",$E29-$L29)</f>
        <v/>
      </c>
    </row>
    <row r="30">
      <c r="A30" s="16" t="n"/>
      <c r="B30" s="17" t="n"/>
      <c r="C30" s="18" t="n"/>
      <c r="D30" s="18" t="n"/>
      <c r="E30" s="19" t="n"/>
      <c r="F30" s="24" t="n"/>
      <c r="G30" s="16" t="n"/>
      <c r="H30" s="25">
        <f>IF($A30="","",IF($G30&lt;&gt;"",$G30,DATE(YEAR($A30)+IF(MONTH($A30)=12,1,0),IF(MONTH($A30)=12,1,MONTH($A30)+1),1)))</f>
        <v/>
      </c>
      <c r="I30" s="26">
        <f>IF(OR($E30="",$F30=""),"",ROUND($E30/$F30,0))</f>
        <v/>
      </c>
      <c r="J30" s="20">
        <f>IF($K30=0,"",($K30+$F30-1-INT(($K30+$F30-2)/12)*12)&amp;"/"&amp;INT(($K30+$F30-2)/12))</f>
        <v/>
      </c>
      <c r="K30" s="21">
        <f>IF($H30="",0,YEAR($H30)*12+MONTH($H30))</f>
        <v/>
      </c>
      <c r="L30" s="26">
        <f>IF($K30=0,"",SUMPRODUCT((PARCELAS!$C30:$AL30&gt;0)*(PARCELAS!$C30:$AL30&lt;=YEAR(TODAY())*12+MONTH(TODAY()))*PARCELAS!$AM30:$BV30))</f>
        <v/>
      </c>
      <c r="M30" s="26">
        <f>IF($K30=0,"",$E30-$L30)</f>
        <v/>
      </c>
    </row>
    <row r="31">
      <c r="A31" s="16" t="n"/>
      <c r="B31" s="17" t="n"/>
      <c r="C31" s="18" t="n"/>
      <c r="D31" s="18" t="n"/>
      <c r="E31" s="19" t="n"/>
      <c r="F31" s="24" t="n"/>
      <c r="G31" s="16" t="n"/>
      <c r="H31" s="25">
        <f>IF($A31="","",IF($G31&lt;&gt;"",$G31,DATE(YEAR($A31)+IF(MONTH($A31)=12,1,0),IF(MONTH($A31)=12,1,MONTH($A31)+1),1)))</f>
        <v/>
      </c>
      <c r="I31" s="26">
        <f>IF(OR($E31="",$F31=""),"",ROUND($E31/$F31,0))</f>
        <v/>
      </c>
      <c r="J31" s="20">
        <f>IF($K31=0,"",($K31+$F31-1-INT(($K31+$F31-2)/12)*12)&amp;"/"&amp;INT(($K31+$F31-2)/12))</f>
        <v/>
      </c>
      <c r="K31" s="21">
        <f>IF($H31="",0,YEAR($H31)*12+MONTH($H31))</f>
        <v/>
      </c>
      <c r="L31" s="26">
        <f>IF($K31=0,"",SUMPRODUCT((PARCELAS!$C31:$AL31&gt;0)*(PARCELAS!$C31:$AL31&lt;=YEAR(TODAY())*12+MONTH(TODAY()))*PARCELAS!$AM31:$BV31))</f>
        <v/>
      </c>
      <c r="M31" s="26">
        <f>IF($K31=0,"",$E31-$L31)</f>
        <v/>
      </c>
    </row>
    <row r="32">
      <c r="A32" s="16" t="n"/>
      <c r="B32" s="17" t="n"/>
      <c r="C32" s="18" t="n"/>
      <c r="D32" s="18" t="n"/>
      <c r="E32" s="19" t="n"/>
      <c r="F32" s="24" t="n"/>
      <c r="G32" s="16" t="n"/>
      <c r="H32" s="25">
        <f>IF($A32="","",IF($G32&lt;&gt;"",$G32,DATE(YEAR($A32)+IF(MONTH($A32)=12,1,0),IF(MONTH($A32)=12,1,MONTH($A32)+1),1)))</f>
        <v/>
      </c>
      <c r="I32" s="26">
        <f>IF(OR($E32="",$F32=""),"",ROUND($E32/$F32,0))</f>
        <v/>
      </c>
      <c r="J32" s="20">
        <f>IF($K32=0,"",($K32+$F32-1-INT(($K32+$F32-2)/12)*12)&amp;"/"&amp;INT(($K32+$F32-2)/12))</f>
        <v/>
      </c>
      <c r="K32" s="21">
        <f>IF($H32="",0,YEAR($H32)*12+MONTH($H32))</f>
        <v/>
      </c>
      <c r="L32" s="26">
        <f>IF($K32=0,"",SUMPRODUCT((PARCELAS!$C32:$AL32&gt;0)*(PARCELAS!$C32:$AL32&lt;=YEAR(TODAY())*12+MONTH(TODAY()))*PARCELAS!$AM32:$BV32))</f>
        <v/>
      </c>
      <c r="M32" s="26">
        <f>IF($K32=0,"",$E32-$L32)</f>
        <v/>
      </c>
    </row>
    <row r="33">
      <c r="A33" s="16" t="n"/>
      <c r="B33" s="17" t="n"/>
      <c r="C33" s="18" t="n"/>
      <c r="D33" s="18" t="n"/>
      <c r="E33" s="19" t="n"/>
      <c r="F33" s="24" t="n"/>
      <c r="G33" s="16" t="n"/>
      <c r="H33" s="25">
        <f>IF($A33="","",IF($G33&lt;&gt;"",$G33,DATE(YEAR($A33)+IF(MONTH($A33)=12,1,0),IF(MONTH($A33)=12,1,MONTH($A33)+1),1)))</f>
        <v/>
      </c>
      <c r="I33" s="26">
        <f>IF(OR($E33="",$F33=""),"",ROUND($E33/$F33,0))</f>
        <v/>
      </c>
      <c r="J33" s="20">
        <f>IF($K33=0,"",($K33+$F33-1-INT(($K33+$F33-2)/12)*12)&amp;"/"&amp;INT(($K33+$F33-2)/12))</f>
        <v/>
      </c>
      <c r="K33" s="21">
        <f>IF($H33="",0,YEAR($H33)*12+MONTH($H33))</f>
        <v/>
      </c>
      <c r="L33" s="26">
        <f>IF($K33=0,"",SUMPRODUCT((PARCELAS!$C33:$AL33&gt;0)*(PARCELAS!$C33:$AL33&lt;=YEAR(TODAY())*12+MONTH(TODAY()))*PARCELAS!$AM33:$BV33))</f>
        <v/>
      </c>
      <c r="M33" s="26">
        <f>IF($K33=0,"",$E33-$L33)</f>
        <v/>
      </c>
    </row>
    <row r="34">
      <c r="A34" s="16" t="n"/>
      <c r="B34" s="17" t="n"/>
      <c r="C34" s="18" t="n"/>
      <c r="D34" s="18" t="n"/>
      <c r="E34" s="19" t="n"/>
      <c r="F34" s="24" t="n"/>
      <c r="G34" s="16" t="n"/>
      <c r="H34" s="25">
        <f>IF($A34="","",IF($G34&lt;&gt;"",$G34,DATE(YEAR($A34)+IF(MONTH($A34)=12,1,0),IF(MONTH($A34)=12,1,MONTH($A34)+1),1)))</f>
        <v/>
      </c>
      <c r="I34" s="26">
        <f>IF(OR($E34="",$F34=""),"",ROUND($E34/$F34,0))</f>
        <v/>
      </c>
      <c r="J34" s="20">
        <f>IF($K34=0,"",($K34+$F34-1-INT(($K34+$F34-2)/12)*12)&amp;"/"&amp;INT(($K34+$F34-2)/12))</f>
        <v/>
      </c>
      <c r="K34" s="21">
        <f>IF($H34="",0,YEAR($H34)*12+MONTH($H34))</f>
        <v/>
      </c>
      <c r="L34" s="26">
        <f>IF($K34=0,"",SUMPRODUCT((PARCELAS!$C34:$AL34&gt;0)*(PARCELAS!$C34:$AL34&lt;=YEAR(TODAY())*12+MONTH(TODAY()))*PARCELAS!$AM34:$BV34))</f>
        <v/>
      </c>
      <c r="M34" s="26">
        <f>IF($K34=0,"",$E34-$L34)</f>
        <v/>
      </c>
    </row>
    <row r="35">
      <c r="A35" s="16" t="n"/>
      <c r="B35" s="17" t="n"/>
      <c r="C35" s="18" t="n"/>
      <c r="D35" s="18" t="n"/>
      <c r="E35" s="19" t="n"/>
      <c r="F35" s="24" t="n"/>
      <c r="G35" s="16" t="n"/>
      <c r="H35" s="25">
        <f>IF($A35="","",IF($G35&lt;&gt;"",$G35,DATE(YEAR($A35)+IF(MONTH($A35)=12,1,0),IF(MONTH($A35)=12,1,MONTH($A35)+1),1)))</f>
        <v/>
      </c>
      <c r="I35" s="26">
        <f>IF(OR($E35="",$F35=""),"",ROUND($E35/$F35,0))</f>
        <v/>
      </c>
      <c r="J35" s="20">
        <f>IF($K35=0,"",($K35+$F35-1-INT(($K35+$F35-2)/12)*12)&amp;"/"&amp;INT(($K35+$F35-2)/12))</f>
        <v/>
      </c>
      <c r="K35" s="21">
        <f>IF($H35="",0,YEAR($H35)*12+MONTH($H35))</f>
        <v/>
      </c>
      <c r="L35" s="26">
        <f>IF($K35=0,"",SUMPRODUCT((PARCELAS!$C35:$AL35&gt;0)*(PARCELAS!$C35:$AL35&lt;=YEAR(TODAY())*12+MONTH(TODAY()))*PARCELAS!$AM35:$BV35))</f>
        <v/>
      </c>
      <c r="M35" s="26">
        <f>IF($K35=0,"",$E35-$L35)</f>
        <v/>
      </c>
    </row>
    <row r="36">
      <c r="A36" s="16" t="n"/>
      <c r="B36" s="17" t="n"/>
      <c r="C36" s="18" t="n"/>
      <c r="D36" s="18" t="n"/>
      <c r="E36" s="19" t="n"/>
      <c r="F36" s="24" t="n"/>
      <c r="G36" s="16" t="n"/>
      <c r="H36" s="25">
        <f>IF($A36="","",IF($G36&lt;&gt;"",$G36,DATE(YEAR($A36)+IF(MONTH($A36)=12,1,0),IF(MONTH($A36)=12,1,MONTH($A36)+1),1)))</f>
        <v/>
      </c>
      <c r="I36" s="26">
        <f>IF(OR($E36="",$F36=""),"",ROUND($E36/$F36,0))</f>
        <v/>
      </c>
      <c r="J36" s="20">
        <f>IF($K36=0,"",($K36+$F36-1-INT(($K36+$F36-2)/12)*12)&amp;"/"&amp;INT(($K36+$F36-2)/12))</f>
        <v/>
      </c>
      <c r="K36" s="21">
        <f>IF($H36="",0,YEAR($H36)*12+MONTH($H36))</f>
        <v/>
      </c>
      <c r="L36" s="26">
        <f>IF($K36=0,"",SUMPRODUCT((PARCELAS!$C36:$AL36&gt;0)*(PARCELAS!$C36:$AL36&lt;=YEAR(TODAY())*12+MONTH(TODAY()))*PARCELAS!$AM36:$BV36))</f>
        <v/>
      </c>
      <c r="M36" s="26">
        <f>IF($K36=0,"",$E36-$L36)</f>
        <v/>
      </c>
    </row>
    <row r="37">
      <c r="A37" s="16" t="n"/>
      <c r="B37" s="17" t="n"/>
      <c r="C37" s="18" t="n"/>
      <c r="D37" s="18" t="n"/>
      <c r="E37" s="19" t="n"/>
      <c r="F37" s="24" t="n"/>
      <c r="G37" s="16" t="n"/>
      <c r="H37" s="25">
        <f>IF($A37="","",IF($G37&lt;&gt;"",$G37,DATE(YEAR($A37)+IF(MONTH($A37)=12,1,0),IF(MONTH($A37)=12,1,MONTH($A37)+1),1)))</f>
        <v/>
      </c>
      <c r="I37" s="26">
        <f>IF(OR($E37="",$F37=""),"",ROUND($E37/$F37,0))</f>
        <v/>
      </c>
      <c r="J37" s="20">
        <f>IF($K37=0,"",($K37+$F37-1-INT(($K37+$F37-2)/12)*12)&amp;"/"&amp;INT(($K37+$F37-2)/12))</f>
        <v/>
      </c>
      <c r="K37" s="21">
        <f>IF($H37="",0,YEAR($H37)*12+MONTH($H37))</f>
        <v/>
      </c>
      <c r="L37" s="26">
        <f>IF($K37=0,"",SUMPRODUCT((PARCELAS!$C37:$AL37&gt;0)*(PARCELAS!$C37:$AL37&lt;=YEAR(TODAY())*12+MONTH(TODAY()))*PARCELAS!$AM37:$BV37))</f>
        <v/>
      </c>
      <c r="M37" s="26">
        <f>IF($K37=0,"",$E37-$L37)</f>
        <v/>
      </c>
    </row>
    <row r="38">
      <c r="A38" s="16" t="n"/>
      <c r="B38" s="17" t="n"/>
      <c r="C38" s="18" t="n"/>
      <c r="D38" s="18" t="n"/>
      <c r="E38" s="19" t="n"/>
      <c r="F38" s="24" t="n"/>
      <c r="G38" s="16" t="n"/>
      <c r="H38" s="25">
        <f>IF($A38="","",IF($G38&lt;&gt;"",$G38,DATE(YEAR($A38)+IF(MONTH($A38)=12,1,0),IF(MONTH($A38)=12,1,MONTH($A38)+1),1)))</f>
        <v/>
      </c>
      <c r="I38" s="26">
        <f>IF(OR($E38="",$F38=""),"",ROUND($E38/$F38,0))</f>
        <v/>
      </c>
      <c r="J38" s="20">
        <f>IF($K38=0,"",($K38+$F38-1-INT(($K38+$F38-2)/12)*12)&amp;"/"&amp;INT(($K38+$F38-2)/12))</f>
        <v/>
      </c>
      <c r="K38" s="21">
        <f>IF($H38="",0,YEAR($H38)*12+MONTH($H38))</f>
        <v/>
      </c>
      <c r="L38" s="26">
        <f>IF($K38=0,"",SUMPRODUCT((PARCELAS!$C38:$AL38&gt;0)*(PARCELAS!$C38:$AL38&lt;=YEAR(TODAY())*12+MONTH(TODAY()))*PARCELAS!$AM38:$BV38))</f>
        <v/>
      </c>
      <c r="M38" s="26">
        <f>IF($K38=0,"",$E38-$L38)</f>
        <v/>
      </c>
    </row>
    <row r="39">
      <c r="A39" s="16" t="n"/>
      <c r="B39" s="17" t="n"/>
      <c r="C39" s="18" t="n"/>
      <c r="D39" s="18" t="n"/>
      <c r="E39" s="19" t="n"/>
      <c r="F39" s="24" t="n"/>
      <c r="G39" s="16" t="n"/>
      <c r="H39" s="25">
        <f>IF($A39="","",IF($G39&lt;&gt;"",$G39,DATE(YEAR($A39)+IF(MONTH($A39)=12,1,0),IF(MONTH($A39)=12,1,MONTH($A39)+1),1)))</f>
        <v/>
      </c>
      <c r="I39" s="26">
        <f>IF(OR($E39="",$F39=""),"",ROUND($E39/$F39,0))</f>
        <v/>
      </c>
      <c r="J39" s="20">
        <f>IF($K39=0,"",($K39+$F39-1-INT(($K39+$F39-2)/12)*12)&amp;"/"&amp;INT(($K39+$F39-2)/12))</f>
        <v/>
      </c>
      <c r="K39" s="21">
        <f>IF($H39="",0,YEAR($H39)*12+MONTH($H39))</f>
        <v/>
      </c>
      <c r="L39" s="26">
        <f>IF($K39=0,"",SUMPRODUCT((PARCELAS!$C39:$AL39&gt;0)*(PARCELAS!$C39:$AL39&lt;=YEAR(TODAY())*12+MONTH(TODAY()))*PARCELAS!$AM39:$BV39))</f>
        <v/>
      </c>
      <c r="M39" s="26">
        <f>IF($K39=0,"",$E39-$L39)</f>
        <v/>
      </c>
    </row>
    <row r="40">
      <c r="A40" s="16" t="n"/>
      <c r="B40" s="17" t="n"/>
      <c r="C40" s="18" t="n"/>
      <c r="D40" s="18" t="n"/>
      <c r="E40" s="19" t="n"/>
      <c r="F40" s="24" t="n"/>
      <c r="G40" s="16" t="n"/>
      <c r="H40" s="25">
        <f>IF($A40="","",IF($G40&lt;&gt;"",$G40,DATE(YEAR($A40)+IF(MONTH($A40)=12,1,0),IF(MONTH($A40)=12,1,MONTH($A40)+1),1)))</f>
        <v/>
      </c>
      <c r="I40" s="26">
        <f>IF(OR($E40="",$F40=""),"",ROUND($E40/$F40,0))</f>
        <v/>
      </c>
      <c r="J40" s="20">
        <f>IF($K40=0,"",($K40+$F40-1-INT(($K40+$F40-2)/12)*12)&amp;"/"&amp;INT(($K40+$F40-2)/12))</f>
        <v/>
      </c>
      <c r="K40" s="21">
        <f>IF($H40="",0,YEAR($H40)*12+MONTH($H40))</f>
        <v/>
      </c>
      <c r="L40" s="26">
        <f>IF($K40=0,"",SUMPRODUCT((PARCELAS!$C40:$AL40&gt;0)*(PARCELAS!$C40:$AL40&lt;=YEAR(TODAY())*12+MONTH(TODAY()))*PARCELAS!$AM40:$BV40))</f>
        <v/>
      </c>
      <c r="M40" s="26">
        <f>IF($K40=0,"",$E40-$L40)</f>
        <v/>
      </c>
    </row>
    <row r="41">
      <c r="A41" s="16" t="n"/>
      <c r="B41" s="17" t="n"/>
      <c r="C41" s="18" t="n"/>
      <c r="D41" s="18" t="n"/>
      <c r="E41" s="19" t="n"/>
      <c r="F41" s="24" t="n"/>
      <c r="G41" s="16" t="n"/>
      <c r="H41" s="25">
        <f>IF($A41="","",IF($G41&lt;&gt;"",$G41,DATE(YEAR($A41)+IF(MONTH($A41)=12,1,0),IF(MONTH($A41)=12,1,MONTH($A41)+1),1)))</f>
        <v/>
      </c>
      <c r="I41" s="26">
        <f>IF(OR($E41="",$F41=""),"",ROUND($E41/$F41,0))</f>
        <v/>
      </c>
      <c r="J41" s="20">
        <f>IF($K41=0,"",($K41+$F41-1-INT(($K41+$F41-2)/12)*12)&amp;"/"&amp;INT(($K41+$F41-2)/12))</f>
        <v/>
      </c>
      <c r="K41" s="21">
        <f>IF($H41="",0,YEAR($H41)*12+MONTH($H41))</f>
        <v/>
      </c>
      <c r="L41" s="26">
        <f>IF($K41=0,"",SUMPRODUCT((PARCELAS!$C41:$AL41&gt;0)*(PARCELAS!$C41:$AL41&lt;=YEAR(TODAY())*12+MONTH(TODAY()))*PARCELAS!$AM41:$BV41))</f>
        <v/>
      </c>
      <c r="M41" s="26">
        <f>IF($K41=0,"",$E41-$L41)</f>
        <v/>
      </c>
    </row>
    <row r="42">
      <c r="A42" s="16" t="n"/>
      <c r="B42" s="17" t="n"/>
      <c r="C42" s="18" t="n"/>
      <c r="D42" s="18" t="n"/>
      <c r="E42" s="19" t="n"/>
      <c r="F42" s="24" t="n"/>
      <c r="G42" s="16" t="n"/>
      <c r="H42" s="25">
        <f>IF($A42="","",IF($G42&lt;&gt;"",$G42,DATE(YEAR($A42)+IF(MONTH($A42)=12,1,0),IF(MONTH($A42)=12,1,MONTH($A42)+1),1)))</f>
        <v/>
      </c>
      <c r="I42" s="26">
        <f>IF(OR($E42="",$F42=""),"",ROUND($E42/$F42,0))</f>
        <v/>
      </c>
      <c r="J42" s="20">
        <f>IF($K42=0,"",($K42+$F42-1-INT(($K42+$F42-2)/12)*12)&amp;"/"&amp;INT(($K42+$F42-2)/12))</f>
        <v/>
      </c>
      <c r="K42" s="21">
        <f>IF($H42="",0,YEAR($H42)*12+MONTH($H42))</f>
        <v/>
      </c>
      <c r="L42" s="26">
        <f>IF($K42=0,"",SUMPRODUCT((PARCELAS!$C42:$AL42&gt;0)*(PARCELAS!$C42:$AL42&lt;=YEAR(TODAY())*12+MONTH(TODAY()))*PARCELAS!$AM42:$BV42))</f>
        <v/>
      </c>
      <c r="M42" s="26">
        <f>IF($K42=0,"",$E42-$L42)</f>
        <v/>
      </c>
    </row>
    <row r="43">
      <c r="A43" s="16" t="n"/>
      <c r="B43" s="17" t="n"/>
      <c r="C43" s="18" t="n"/>
      <c r="D43" s="18" t="n"/>
      <c r="E43" s="19" t="n"/>
      <c r="F43" s="24" t="n"/>
      <c r="G43" s="16" t="n"/>
      <c r="H43" s="25">
        <f>IF($A43="","",IF($G43&lt;&gt;"",$G43,DATE(YEAR($A43)+IF(MONTH($A43)=12,1,0),IF(MONTH($A43)=12,1,MONTH($A43)+1),1)))</f>
        <v/>
      </c>
      <c r="I43" s="26">
        <f>IF(OR($E43="",$F43=""),"",ROUND($E43/$F43,0))</f>
        <v/>
      </c>
      <c r="J43" s="20">
        <f>IF($K43=0,"",($K43+$F43-1-INT(($K43+$F43-2)/12)*12)&amp;"/"&amp;INT(($K43+$F43-2)/12))</f>
        <v/>
      </c>
      <c r="K43" s="21">
        <f>IF($H43="",0,YEAR($H43)*12+MONTH($H43))</f>
        <v/>
      </c>
      <c r="L43" s="26">
        <f>IF($K43=0,"",SUMPRODUCT((PARCELAS!$C43:$AL43&gt;0)*(PARCELAS!$C43:$AL43&lt;=YEAR(TODAY())*12+MONTH(TODAY()))*PARCELAS!$AM43:$BV43))</f>
        <v/>
      </c>
      <c r="M43" s="26">
        <f>IF($K43=0,"",$E43-$L43)</f>
        <v/>
      </c>
    </row>
    <row r="44">
      <c r="A44" s="16" t="n"/>
      <c r="B44" s="17" t="n"/>
      <c r="C44" s="18" t="n"/>
      <c r="D44" s="18" t="n"/>
      <c r="E44" s="19" t="n"/>
      <c r="F44" s="24" t="n"/>
      <c r="G44" s="16" t="n"/>
      <c r="H44" s="25">
        <f>IF($A44="","",IF($G44&lt;&gt;"",$G44,DATE(YEAR($A44)+IF(MONTH($A44)=12,1,0),IF(MONTH($A44)=12,1,MONTH($A44)+1),1)))</f>
        <v/>
      </c>
      <c r="I44" s="26">
        <f>IF(OR($E44="",$F44=""),"",ROUND($E44/$F44,0))</f>
        <v/>
      </c>
      <c r="J44" s="20">
        <f>IF($K44=0,"",($K44+$F44-1-INT(($K44+$F44-2)/12)*12)&amp;"/"&amp;INT(($K44+$F44-2)/12))</f>
        <v/>
      </c>
      <c r="K44" s="21">
        <f>IF($H44="",0,YEAR($H44)*12+MONTH($H44))</f>
        <v/>
      </c>
      <c r="L44" s="26">
        <f>IF($K44=0,"",SUMPRODUCT((PARCELAS!$C44:$AL44&gt;0)*(PARCELAS!$C44:$AL44&lt;=YEAR(TODAY())*12+MONTH(TODAY()))*PARCELAS!$AM44:$BV44))</f>
        <v/>
      </c>
      <c r="M44" s="26">
        <f>IF($K44=0,"",$E44-$L44)</f>
        <v/>
      </c>
    </row>
    <row r="45">
      <c r="A45" s="16" t="n"/>
      <c r="B45" s="17" t="n"/>
      <c r="C45" s="18" t="n"/>
      <c r="D45" s="18" t="n"/>
      <c r="E45" s="19" t="n"/>
      <c r="F45" s="24" t="n"/>
      <c r="G45" s="16" t="n"/>
      <c r="H45" s="25">
        <f>IF($A45="","",IF($G45&lt;&gt;"",$G45,DATE(YEAR($A45)+IF(MONTH($A45)=12,1,0),IF(MONTH($A45)=12,1,MONTH($A45)+1),1)))</f>
        <v/>
      </c>
      <c r="I45" s="26">
        <f>IF(OR($E45="",$F45=""),"",ROUND($E45/$F45,0))</f>
        <v/>
      </c>
      <c r="J45" s="20">
        <f>IF($K45=0,"",($K45+$F45-1-INT(($K45+$F45-2)/12)*12)&amp;"/"&amp;INT(($K45+$F45-2)/12))</f>
        <v/>
      </c>
      <c r="K45" s="21">
        <f>IF($H45="",0,YEAR($H45)*12+MONTH($H45))</f>
        <v/>
      </c>
      <c r="L45" s="26">
        <f>IF($K45=0,"",SUMPRODUCT((PARCELAS!$C45:$AL45&gt;0)*(PARCELAS!$C45:$AL45&lt;=YEAR(TODAY())*12+MONTH(TODAY()))*PARCELAS!$AM45:$BV45))</f>
        <v/>
      </c>
      <c r="M45" s="26">
        <f>IF($K45=0,"",$E45-$L45)</f>
        <v/>
      </c>
    </row>
    <row r="46">
      <c r="A46" s="16" t="n"/>
      <c r="B46" s="17" t="n"/>
      <c r="C46" s="18" t="n"/>
      <c r="D46" s="18" t="n"/>
      <c r="E46" s="19" t="n"/>
      <c r="F46" s="24" t="n"/>
      <c r="G46" s="16" t="n"/>
      <c r="H46" s="25">
        <f>IF($A46="","",IF($G46&lt;&gt;"",$G46,DATE(YEAR($A46)+IF(MONTH($A46)=12,1,0),IF(MONTH($A46)=12,1,MONTH($A46)+1),1)))</f>
        <v/>
      </c>
      <c r="I46" s="26">
        <f>IF(OR($E46="",$F46=""),"",ROUND($E46/$F46,0))</f>
        <v/>
      </c>
      <c r="J46" s="20">
        <f>IF($K46=0,"",($K46+$F46-1-INT(($K46+$F46-2)/12)*12)&amp;"/"&amp;INT(($K46+$F46-2)/12))</f>
        <v/>
      </c>
      <c r="K46" s="21">
        <f>IF($H46="",0,YEAR($H46)*12+MONTH($H46))</f>
        <v/>
      </c>
      <c r="L46" s="26">
        <f>IF($K46=0,"",SUMPRODUCT((PARCELAS!$C46:$AL46&gt;0)*(PARCELAS!$C46:$AL46&lt;=YEAR(TODAY())*12+MONTH(TODAY()))*PARCELAS!$AM46:$BV46))</f>
        <v/>
      </c>
      <c r="M46" s="26">
        <f>IF($K46=0,"",$E46-$L46)</f>
        <v/>
      </c>
    </row>
    <row r="47">
      <c r="A47" s="16" t="n"/>
      <c r="B47" s="17" t="n"/>
      <c r="C47" s="18" t="n"/>
      <c r="D47" s="18" t="n"/>
      <c r="E47" s="19" t="n"/>
      <c r="F47" s="24" t="n"/>
      <c r="G47" s="16" t="n"/>
      <c r="H47" s="25">
        <f>IF($A47="","",IF($G47&lt;&gt;"",$G47,DATE(YEAR($A47)+IF(MONTH($A47)=12,1,0),IF(MONTH($A47)=12,1,MONTH($A47)+1),1)))</f>
        <v/>
      </c>
      <c r="I47" s="26">
        <f>IF(OR($E47="",$F47=""),"",ROUND($E47/$F47,0))</f>
        <v/>
      </c>
      <c r="J47" s="20">
        <f>IF($K47=0,"",($K47+$F47-1-INT(($K47+$F47-2)/12)*12)&amp;"/"&amp;INT(($K47+$F47-2)/12))</f>
        <v/>
      </c>
      <c r="K47" s="21">
        <f>IF($H47="",0,YEAR($H47)*12+MONTH($H47))</f>
        <v/>
      </c>
      <c r="L47" s="26">
        <f>IF($K47=0,"",SUMPRODUCT((PARCELAS!$C47:$AL47&gt;0)*(PARCELAS!$C47:$AL47&lt;=YEAR(TODAY())*12+MONTH(TODAY()))*PARCELAS!$AM47:$BV47))</f>
        <v/>
      </c>
      <c r="M47" s="26">
        <f>IF($K47=0,"",$E47-$L47)</f>
        <v/>
      </c>
    </row>
    <row r="48">
      <c r="A48" s="16" t="n"/>
      <c r="B48" s="17" t="n"/>
      <c r="C48" s="18" t="n"/>
      <c r="D48" s="18" t="n"/>
      <c r="E48" s="19" t="n"/>
      <c r="F48" s="24" t="n"/>
      <c r="G48" s="16" t="n"/>
      <c r="H48" s="25">
        <f>IF($A48="","",IF($G48&lt;&gt;"",$G48,DATE(YEAR($A48)+IF(MONTH($A48)=12,1,0),IF(MONTH($A48)=12,1,MONTH($A48)+1),1)))</f>
        <v/>
      </c>
      <c r="I48" s="26">
        <f>IF(OR($E48="",$F48=""),"",ROUND($E48/$F48,0))</f>
        <v/>
      </c>
      <c r="J48" s="20">
        <f>IF($K48=0,"",($K48+$F48-1-INT(($K48+$F48-2)/12)*12)&amp;"/"&amp;INT(($K48+$F48-2)/12))</f>
        <v/>
      </c>
      <c r="K48" s="21">
        <f>IF($H48="",0,YEAR($H48)*12+MONTH($H48))</f>
        <v/>
      </c>
      <c r="L48" s="26">
        <f>IF($K48=0,"",SUMPRODUCT((PARCELAS!$C48:$AL48&gt;0)*(PARCELAS!$C48:$AL48&lt;=YEAR(TODAY())*12+MONTH(TODAY()))*PARCELAS!$AM48:$BV48))</f>
        <v/>
      </c>
      <c r="M48" s="26">
        <f>IF($K48=0,"",$E48-$L48)</f>
        <v/>
      </c>
    </row>
    <row r="49">
      <c r="A49" s="16" t="n"/>
      <c r="B49" s="17" t="n"/>
      <c r="C49" s="18" t="n"/>
      <c r="D49" s="18" t="n"/>
      <c r="E49" s="19" t="n"/>
      <c r="F49" s="24" t="n"/>
      <c r="G49" s="16" t="n"/>
      <c r="H49" s="25">
        <f>IF($A49="","",IF($G49&lt;&gt;"",$G49,DATE(YEAR($A49)+IF(MONTH($A49)=12,1,0),IF(MONTH($A49)=12,1,MONTH($A49)+1),1)))</f>
        <v/>
      </c>
      <c r="I49" s="26">
        <f>IF(OR($E49="",$F49=""),"",ROUND($E49/$F49,0))</f>
        <v/>
      </c>
      <c r="J49" s="20">
        <f>IF($K49=0,"",($K49+$F49-1-INT(($K49+$F49-2)/12)*12)&amp;"/"&amp;INT(($K49+$F49-2)/12))</f>
        <v/>
      </c>
      <c r="K49" s="21">
        <f>IF($H49="",0,YEAR($H49)*12+MONTH($H49))</f>
        <v/>
      </c>
      <c r="L49" s="26">
        <f>IF($K49=0,"",SUMPRODUCT((PARCELAS!$C49:$AL49&gt;0)*(PARCELAS!$C49:$AL49&lt;=YEAR(TODAY())*12+MONTH(TODAY()))*PARCELAS!$AM49:$BV49))</f>
        <v/>
      </c>
      <c r="M49" s="26">
        <f>IF($K49=0,"",$E49-$L49)</f>
        <v/>
      </c>
    </row>
    <row r="50">
      <c r="A50" s="16" t="n"/>
      <c r="B50" s="17" t="n"/>
      <c r="C50" s="18" t="n"/>
      <c r="D50" s="18" t="n"/>
      <c r="E50" s="19" t="n"/>
      <c r="F50" s="24" t="n"/>
      <c r="G50" s="16" t="n"/>
      <c r="H50" s="25">
        <f>IF($A50="","",IF($G50&lt;&gt;"",$G50,DATE(YEAR($A50)+IF(MONTH($A50)=12,1,0),IF(MONTH($A50)=12,1,MONTH($A50)+1),1)))</f>
        <v/>
      </c>
      <c r="I50" s="26">
        <f>IF(OR($E50="",$F50=""),"",ROUND($E50/$F50,0))</f>
        <v/>
      </c>
      <c r="J50" s="20">
        <f>IF($K50=0,"",($K50+$F50-1-INT(($K50+$F50-2)/12)*12)&amp;"/"&amp;INT(($K50+$F50-2)/12))</f>
        <v/>
      </c>
      <c r="K50" s="21">
        <f>IF($H50="",0,YEAR($H50)*12+MONTH($H50))</f>
        <v/>
      </c>
      <c r="L50" s="26">
        <f>IF($K50=0,"",SUMPRODUCT((PARCELAS!$C50:$AL50&gt;0)*(PARCELAS!$C50:$AL50&lt;=YEAR(TODAY())*12+MONTH(TODAY()))*PARCELAS!$AM50:$BV50))</f>
        <v/>
      </c>
      <c r="M50" s="26">
        <f>IF($K50=0,"",$E50-$L50)</f>
        <v/>
      </c>
    </row>
    <row r="51">
      <c r="A51" s="16" t="n"/>
      <c r="B51" s="17" t="n"/>
      <c r="C51" s="18" t="n"/>
      <c r="D51" s="18" t="n"/>
      <c r="E51" s="19" t="n"/>
      <c r="F51" s="24" t="n"/>
      <c r="G51" s="16" t="n"/>
      <c r="H51" s="25">
        <f>IF($A51="","",IF($G51&lt;&gt;"",$G51,DATE(YEAR($A51)+IF(MONTH($A51)=12,1,0),IF(MONTH($A51)=12,1,MONTH($A51)+1),1)))</f>
        <v/>
      </c>
      <c r="I51" s="26">
        <f>IF(OR($E51="",$F51=""),"",ROUND($E51/$F51,0))</f>
        <v/>
      </c>
      <c r="J51" s="20">
        <f>IF($K51=0,"",($K51+$F51-1-INT(($K51+$F51-2)/12)*12)&amp;"/"&amp;INT(($K51+$F51-2)/12))</f>
        <v/>
      </c>
      <c r="K51" s="21">
        <f>IF($H51="",0,YEAR($H51)*12+MONTH($H51))</f>
        <v/>
      </c>
      <c r="L51" s="26">
        <f>IF($K51=0,"",SUMPRODUCT((PARCELAS!$C51:$AL51&gt;0)*(PARCELAS!$C51:$AL51&lt;=YEAR(TODAY())*12+MONTH(TODAY()))*PARCELAS!$AM51:$BV51))</f>
        <v/>
      </c>
      <c r="M51" s="26">
        <f>IF($K51=0,"",$E51-$L51)</f>
        <v/>
      </c>
    </row>
    <row r="52">
      <c r="A52" s="16" t="n"/>
      <c r="B52" s="17" t="n"/>
      <c r="C52" s="18" t="n"/>
      <c r="D52" s="18" t="n"/>
      <c r="E52" s="19" t="n"/>
      <c r="F52" s="24" t="n"/>
      <c r="G52" s="16" t="n"/>
      <c r="H52" s="25">
        <f>IF($A52="","",IF($G52&lt;&gt;"",$G52,DATE(YEAR($A52)+IF(MONTH($A52)=12,1,0),IF(MONTH($A52)=12,1,MONTH($A52)+1),1)))</f>
        <v/>
      </c>
      <c r="I52" s="26">
        <f>IF(OR($E52="",$F52=""),"",ROUND($E52/$F52,0))</f>
        <v/>
      </c>
      <c r="J52" s="20">
        <f>IF($K52=0,"",($K52+$F52-1-INT(($K52+$F52-2)/12)*12)&amp;"/"&amp;INT(($K52+$F52-2)/12))</f>
        <v/>
      </c>
      <c r="K52" s="21">
        <f>IF($H52="",0,YEAR($H52)*12+MONTH($H52))</f>
        <v/>
      </c>
      <c r="L52" s="26">
        <f>IF($K52=0,"",SUMPRODUCT((PARCELAS!$C52:$AL52&gt;0)*(PARCELAS!$C52:$AL52&lt;=YEAR(TODAY())*12+MONTH(TODAY()))*PARCELAS!$AM52:$BV52))</f>
        <v/>
      </c>
      <c r="M52" s="26">
        <f>IF($K52=0,"",$E52-$L52)</f>
        <v/>
      </c>
    </row>
    <row r="53">
      <c r="A53" s="16" t="n"/>
      <c r="B53" s="17" t="n"/>
      <c r="C53" s="18" t="n"/>
      <c r="D53" s="18" t="n"/>
      <c r="E53" s="19" t="n"/>
      <c r="F53" s="24" t="n"/>
      <c r="G53" s="16" t="n"/>
      <c r="H53" s="25">
        <f>IF($A53="","",IF($G53&lt;&gt;"",$G53,DATE(YEAR($A53)+IF(MONTH($A53)=12,1,0),IF(MONTH($A53)=12,1,MONTH($A53)+1),1)))</f>
        <v/>
      </c>
      <c r="I53" s="26">
        <f>IF(OR($E53="",$F53=""),"",ROUND($E53/$F53,0))</f>
        <v/>
      </c>
      <c r="J53" s="20">
        <f>IF($K53=0,"",($K53+$F53-1-INT(($K53+$F53-2)/12)*12)&amp;"/"&amp;INT(($K53+$F53-2)/12))</f>
        <v/>
      </c>
      <c r="K53" s="21">
        <f>IF($H53="",0,YEAR($H53)*12+MONTH($H53))</f>
        <v/>
      </c>
      <c r="L53" s="26">
        <f>IF($K53=0,"",SUMPRODUCT((PARCELAS!$C53:$AL53&gt;0)*(PARCELAS!$C53:$AL53&lt;=YEAR(TODAY())*12+MONTH(TODAY()))*PARCELAS!$AM53:$BV53))</f>
        <v/>
      </c>
      <c r="M53" s="26">
        <f>IF($K53=0,"",$E53-$L53)</f>
        <v/>
      </c>
    </row>
    <row r="54">
      <c r="A54" s="16" t="n"/>
      <c r="B54" s="17" t="n"/>
      <c r="C54" s="18" t="n"/>
      <c r="D54" s="18" t="n"/>
      <c r="E54" s="19" t="n"/>
      <c r="F54" s="24" t="n"/>
      <c r="G54" s="16" t="n"/>
      <c r="H54" s="25">
        <f>IF($A54="","",IF($G54&lt;&gt;"",$G54,DATE(YEAR($A54)+IF(MONTH($A54)=12,1,0),IF(MONTH($A54)=12,1,MONTH($A54)+1),1)))</f>
        <v/>
      </c>
      <c r="I54" s="26">
        <f>IF(OR($E54="",$F54=""),"",ROUND($E54/$F54,0))</f>
        <v/>
      </c>
      <c r="J54" s="20">
        <f>IF($K54=0,"",($K54+$F54-1-INT(($K54+$F54-2)/12)*12)&amp;"/"&amp;INT(($K54+$F54-2)/12))</f>
        <v/>
      </c>
      <c r="K54" s="21">
        <f>IF($H54="",0,YEAR($H54)*12+MONTH($H54))</f>
        <v/>
      </c>
      <c r="L54" s="26">
        <f>IF($K54=0,"",SUMPRODUCT((PARCELAS!$C54:$AL54&gt;0)*(PARCELAS!$C54:$AL54&lt;=YEAR(TODAY())*12+MONTH(TODAY()))*PARCELAS!$AM54:$BV54))</f>
        <v/>
      </c>
      <c r="M54" s="26">
        <f>IF($K54=0,"",$E54-$L54)</f>
        <v/>
      </c>
    </row>
    <row r="55">
      <c r="A55" s="16" t="n"/>
      <c r="B55" s="17" t="n"/>
      <c r="C55" s="18" t="n"/>
      <c r="D55" s="18" t="n"/>
      <c r="E55" s="19" t="n"/>
      <c r="F55" s="24" t="n"/>
      <c r="G55" s="16" t="n"/>
      <c r="H55" s="25">
        <f>IF($A55="","",IF($G55&lt;&gt;"",$G55,DATE(YEAR($A55)+IF(MONTH($A55)=12,1,0),IF(MONTH($A55)=12,1,MONTH($A55)+1),1)))</f>
        <v/>
      </c>
      <c r="I55" s="26">
        <f>IF(OR($E55="",$F55=""),"",ROUND($E55/$F55,0))</f>
        <v/>
      </c>
      <c r="J55" s="20">
        <f>IF($K55=0,"",($K55+$F55-1-INT(($K55+$F55-2)/12)*12)&amp;"/"&amp;INT(($K55+$F55-2)/12))</f>
        <v/>
      </c>
      <c r="K55" s="21">
        <f>IF($H55="",0,YEAR($H55)*12+MONTH($H55))</f>
        <v/>
      </c>
      <c r="L55" s="26">
        <f>IF($K55=0,"",SUMPRODUCT((PARCELAS!$C55:$AL55&gt;0)*(PARCELAS!$C55:$AL55&lt;=YEAR(TODAY())*12+MONTH(TODAY()))*PARCELAS!$AM55:$BV55))</f>
        <v/>
      </c>
      <c r="M55" s="26">
        <f>IF($K55=0,"",$E55-$L55)</f>
        <v/>
      </c>
    </row>
    <row r="56">
      <c r="A56" s="16" t="n"/>
      <c r="B56" s="17" t="n"/>
      <c r="C56" s="18" t="n"/>
      <c r="D56" s="18" t="n"/>
      <c r="E56" s="19" t="n"/>
      <c r="F56" s="24" t="n"/>
      <c r="G56" s="16" t="n"/>
      <c r="H56" s="25">
        <f>IF($A56="","",IF($G56&lt;&gt;"",$G56,DATE(YEAR($A56)+IF(MONTH($A56)=12,1,0),IF(MONTH($A56)=12,1,MONTH($A56)+1),1)))</f>
        <v/>
      </c>
      <c r="I56" s="26">
        <f>IF(OR($E56="",$F56=""),"",ROUND($E56/$F56,0))</f>
        <v/>
      </c>
      <c r="J56" s="20">
        <f>IF($K56=0,"",($K56+$F56-1-INT(($K56+$F56-2)/12)*12)&amp;"/"&amp;INT(($K56+$F56-2)/12))</f>
        <v/>
      </c>
      <c r="K56" s="21">
        <f>IF($H56="",0,YEAR($H56)*12+MONTH($H56))</f>
        <v/>
      </c>
      <c r="L56" s="26">
        <f>IF($K56=0,"",SUMPRODUCT((PARCELAS!$C56:$AL56&gt;0)*(PARCELAS!$C56:$AL56&lt;=YEAR(TODAY())*12+MONTH(TODAY()))*PARCELAS!$AM56:$BV56))</f>
        <v/>
      </c>
      <c r="M56" s="26">
        <f>IF($K56=0,"",$E56-$L56)</f>
        <v/>
      </c>
    </row>
    <row r="57">
      <c r="A57" s="16" t="n"/>
      <c r="B57" s="17" t="n"/>
      <c r="C57" s="18" t="n"/>
      <c r="D57" s="18" t="n"/>
      <c r="E57" s="19" t="n"/>
      <c r="F57" s="24" t="n"/>
      <c r="G57" s="16" t="n"/>
      <c r="H57" s="25">
        <f>IF($A57="","",IF($G57&lt;&gt;"",$G57,DATE(YEAR($A57)+IF(MONTH($A57)=12,1,0),IF(MONTH($A57)=12,1,MONTH($A57)+1),1)))</f>
        <v/>
      </c>
      <c r="I57" s="26">
        <f>IF(OR($E57="",$F57=""),"",ROUND($E57/$F57,0))</f>
        <v/>
      </c>
      <c r="J57" s="20">
        <f>IF($K57=0,"",($K57+$F57-1-INT(($K57+$F57-2)/12)*12)&amp;"/"&amp;INT(($K57+$F57-2)/12))</f>
        <v/>
      </c>
      <c r="K57" s="21">
        <f>IF($H57="",0,YEAR($H57)*12+MONTH($H57))</f>
        <v/>
      </c>
      <c r="L57" s="26">
        <f>IF($K57=0,"",SUMPRODUCT((PARCELAS!$C57:$AL57&gt;0)*(PARCELAS!$C57:$AL57&lt;=YEAR(TODAY())*12+MONTH(TODAY()))*PARCELAS!$AM57:$BV57))</f>
        <v/>
      </c>
      <c r="M57" s="26">
        <f>IF($K57=0,"",$E57-$L57)</f>
        <v/>
      </c>
    </row>
    <row r="58">
      <c r="A58" s="16" t="n"/>
      <c r="B58" s="17" t="n"/>
      <c r="C58" s="18" t="n"/>
      <c r="D58" s="18" t="n"/>
      <c r="E58" s="19" t="n"/>
      <c r="F58" s="24" t="n"/>
      <c r="G58" s="16" t="n"/>
      <c r="H58" s="25">
        <f>IF($A58="","",IF($G58&lt;&gt;"",$G58,DATE(YEAR($A58)+IF(MONTH($A58)=12,1,0),IF(MONTH($A58)=12,1,MONTH($A58)+1),1)))</f>
        <v/>
      </c>
      <c r="I58" s="26">
        <f>IF(OR($E58="",$F58=""),"",ROUND($E58/$F58,0))</f>
        <v/>
      </c>
      <c r="J58" s="20">
        <f>IF($K58=0,"",($K58+$F58-1-INT(($K58+$F58-2)/12)*12)&amp;"/"&amp;INT(($K58+$F58-2)/12))</f>
        <v/>
      </c>
      <c r="K58" s="21">
        <f>IF($H58="",0,YEAR($H58)*12+MONTH($H58))</f>
        <v/>
      </c>
      <c r="L58" s="26">
        <f>IF($K58=0,"",SUMPRODUCT((PARCELAS!$C58:$AL58&gt;0)*(PARCELAS!$C58:$AL58&lt;=YEAR(TODAY())*12+MONTH(TODAY()))*PARCELAS!$AM58:$BV58))</f>
        <v/>
      </c>
      <c r="M58" s="26">
        <f>IF($K58=0,"",$E58-$L58)</f>
        <v/>
      </c>
    </row>
    <row r="59">
      <c r="A59" s="16" t="n"/>
      <c r="B59" s="17" t="n"/>
      <c r="C59" s="18" t="n"/>
      <c r="D59" s="18" t="n"/>
      <c r="E59" s="19" t="n"/>
      <c r="F59" s="24" t="n"/>
      <c r="G59" s="16" t="n"/>
      <c r="H59" s="25">
        <f>IF($A59="","",IF($G59&lt;&gt;"",$G59,DATE(YEAR($A59)+IF(MONTH($A59)=12,1,0),IF(MONTH($A59)=12,1,MONTH($A59)+1),1)))</f>
        <v/>
      </c>
      <c r="I59" s="26">
        <f>IF(OR($E59="",$F59=""),"",ROUND($E59/$F59,0))</f>
        <v/>
      </c>
      <c r="J59" s="20">
        <f>IF($K59=0,"",($K59+$F59-1-INT(($K59+$F59-2)/12)*12)&amp;"/"&amp;INT(($K59+$F59-2)/12))</f>
        <v/>
      </c>
      <c r="K59" s="21">
        <f>IF($H59="",0,YEAR($H59)*12+MONTH($H59))</f>
        <v/>
      </c>
      <c r="L59" s="26">
        <f>IF($K59=0,"",SUMPRODUCT((PARCELAS!$C59:$AL59&gt;0)*(PARCELAS!$C59:$AL59&lt;=YEAR(TODAY())*12+MONTH(TODAY()))*PARCELAS!$AM59:$BV59))</f>
        <v/>
      </c>
      <c r="M59" s="26">
        <f>IF($K59=0,"",$E59-$L59)</f>
        <v/>
      </c>
    </row>
    <row r="60">
      <c r="A60" s="16" t="n"/>
      <c r="B60" s="17" t="n"/>
      <c r="C60" s="18" t="n"/>
      <c r="D60" s="18" t="n"/>
      <c r="E60" s="19" t="n"/>
      <c r="F60" s="24" t="n"/>
      <c r="G60" s="16" t="n"/>
      <c r="H60" s="25">
        <f>IF($A60="","",IF($G60&lt;&gt;"",$G60,DATE(YEAR($A60)+IF(MONTH($A60)=12,1,0),IF(MONTH($A60)=12,1,MONTH($A60)+1),1)))</f>
        <v/>
      </c>
      <c r="I60" s="26">
        <f>IF(OR($E60="",$F60=""),"",ROUND($E60/$F60,0))</f>
        <v/>
      </c>
      <c r="J60" s="20">
        <f>IF($K60=0,"",($K60+$F60-1-INT(($K60+$F60-2)/12)*12)&amp;"/"&amp;INT(($K60+$F60-2)/12))</f>
        <v/>
      </c>
      <c r="K60" s="21">
        <f>IF($H60="",0,YEAR($H60)*12+MONTH($H60))</f>
        <v/>
      </c>
      <c r="L60" s="26">
        <f>IF($K60=0,"",SUMPRODUCT((PARCELAS!$C60:$AL60&gt;0)*(PARCELAS!$C60:$AL60&lt;=YEAR(TODAY())*12+MONTH(TODAY()))*PARCELAS!$AM60:$BV60))</f>
        <v/>
      </c>
      <c r="M60" s="26">
        <f>IF($K60=0,"",$E60-$L60)</f>
        <v/>
      </c>
    </row>
    <row r="61">
      <c r="A61" s="16" t="n"/>
      <c r="B61" s="17" t="n"/>
      <c r="C61" s="18" t="n"/>
      <c r="D61" s="18" t="n"/>
      <c r="E61" s="19" t="n"/>
      <c r="F61" s="24" t="n"/>
      <c r="G61" s="16" t="n"/>
      <c r="H61" s="25">
        <f>IF($A61="","",IF($G61&lt;&gt;"",$G61,DATE(YEAR($A61)+IF(MONTH($A61)=12,1,0),IF(MONTH($A61)=12,1,MONTH($A61)+1),1)))</f>
        <v/>
      </c>
      <c r="I61" s="26">
        <f>IF(OR($E61="",$F61=""),"",ROUND($E61/$F61,0))</f>
        <v/>
      </c>
      <c r="J61" s="20">
        <f>IF($K61=0,"",($K61+$F61-1-INT(($K61+$F61-2)/12)*12)&amp;"/"&amp;INT(($K61+$F61-2)/12))</f>
        <v/>
      </c>
      <c r="K61" s="21">
        <f>IF($H61="",0,YEAR($H61)*12+MONTH($H61))</f>
        <v/>
      </c>
      <c r="L61" s="26">
        <f>IF($K61=0,"",SUMPRODUCT((PARCELAS!$C61:$AL61&gt;0)*(PARCELAS!$C61:$AL61&lt;=YEAR(TODAY())*12+MONTH(TODAY()))*PARCELAS!$AM61:$BV61))</f>
        <v/>
      </c>
      <c r="M61" s="26">
        <f>IF($K61=0,"",$E61-$L61)</f>
        <v/>
      </c>
    </row>
    <row r="62">
      <c r="A62" s="16" t="n"/>
      <c r="B62" s="17" t="n"/>
      <c r="C62" s="18" t="n"/>
      <c r="D62" s="18" t="n"/>
      <c r="E62" s="19" t="n"/>
      <c r="F62" s="24" t="n"/>
      <c r="G62" s="16" t="n"/>
      <c r="H62" s="25">
        <f>IF($A62="","",IF($G62&lt;&gt;"",$G62,DATE(YEAR($A62)+IF(MONTH($A62)=12,1,0),IF(MONTH($A62)=12,1,MONTH($A62)+1),1)))</f>
        <v/>
      </c>
      <c r="I62" s="26">
        <f>IF(OR($E62="",$F62=""),"",ROUND($E62/$F62,0))</f>
        <v/>
      </c>
      <c r="J62" s="20">
        <f>IF($K62=0,"",($K62+$F62-1-INT(($K62+$F62-2)/12)*12)&amp;"/"&amp;INT(($K62+$F62-2)/12))</f>
        <v/>
      </c>
      <c r="K62" s="21">
        <f>IF($H62="",0,YEAR($H62)*12+MONTH($H62))</f>
        <v/>
      </c>
      <c r="L62" s="26">
        <f>IF($K62=0,"",SUMPRODUCT((PARCELAS!$C62:$AL62&gt;0)*(PARCELAS!$C62:$AL62&lt;=YEAR(TODAY())*12+MONTH(TODAY()))*PARCELAS!$AM62:$BV62))</f>
        <v/>
      </c>
      <c r="M62" s="26">
        <f>IF($K62=0,"",$E62-$L62)</f>
        <v/>
      </c>
    </row>
    <row r="63">
      <c r="A63" s="16" t="n"/>
      <c r="B63" s="17" t="n"/>
      <c r="C63" s="18" t="n"/>
      <c r="D63" s="18" t="n"/>
      <c r="E63" s="19" t="n"/>
      <c r="F63" s="24" t="n"/>
      <c r="G63" s="16" t="n"/>
      <c r="H63" s="25">
        <f>IF($A63="","",IF($G63&lt;&gt;"",$G63,DATE(YEAR($A63)+IF(MONTH($A63)=12,1,0),IF(MONTH($A63)=12,1,MONTH($A63)+1),1)))</f>
        <v/>
      </c>
      <c r="I63" s="26">
        <f>IF(OR($E63="",$F63=""),"",ROUND($E63/$F63,0))</f>
        <v/>
      </c>
      <c r="J63" s="20">
        <f>IF($K63=0,"",($K63+$F63-1-INT(($K63+$F63-2)/12)*12)&amp;"/"&amp;INT(($K63+$F63-2)/12))</f>
        <v/>
      </c>
      <c r="K63" s="21">
        <f>IF($H63="",0,YEAR($H63)*12+MONTH($H63))</f>
        <v/>
      </c>
      <c r="L63" s="26">
        <f>IF($K63=0,"",SUMPRODUCT((PARCELAS!$C63:$AL63&gt;0)*(PARCELAS!$C63:$AL63&lt;=YEAR(TODAY())*12+MONTH(TODAY()))*PARCELAS!$AM63:$BV63))</f>
        <v/>
      </c>
      <c r="M63" s="26">
        <f>IF($K63=0,"",$E63-$L63)</f>
        <v/>
      </c>
    </row>
    <row r="64">
      <c r="A64" s="16" t="n"/>
      <c r="B64" s="17" t="n"/>
      <c r="C64" s="18" t="n"/>
      <c r="D64" s="18" t="n"/>
      <c r="E64" s="19" t="n"/>
      <c r="F64" s="24" t="n"/>
      <c r="G64" s="16" t="n"/>
      <c r="H64" s="25">
        <f>IF($A64="","",IF($G64&lt;&gt;"",$G64,DATE(YEAR($A64)+IF(MONTH($A64)=12,1,0),IF(MONTH($A64)=12,1,MONTH($A64)+1),1)))</f>
        <v/>
      </c>
      <c r="I64" s="26">
        <f>IF(OR($E64="",$F64=""),"",ROUND($E64/$F64,0))</f>
        <v/>
      </c>
      <c r="J64" s="20">
        <f>IF($K64=0,"",($K64+$F64-1-INT(($K64+$F64-2)/12)*12)&amp;"/"&amp;INT(($K64+$F64-2)/12))</f>
        <v/>
      </c>
      <c r="K64" s="21">
        <f>IF($H64="",0,YEAR($H64)*12+MONTH($H64))</f>
        <v/>
      </c>
      <c r="L64" s="26">
        <f>IF($K64=0,"",SUMPRODUCT((PARCELAS!$C64:$AL64&gt;0)*(PARCELAS!$C64:$AL64&lt;=YEAR(TODAY())*12+MONTH(TODAY()))*PARCELAS!$AM64:$BV64))</f>
        <v/>
      </c>
      <c r="M64" s="26">
        <f>IF($K64=0,"",$E64-$L64)</f>
        <v/>
      </c>
    </row>
    <row r="65">
      <c r="A65" s="16" t="n"/>
      <c r="B65" s="17" t="n"/>
      <c r="C65" s="18" t="n"/>
      <c r="D65" s="18" t="n"/>
      <c r="E65" s="19" t="n"/>
      <c r="F65" s="24" t="n"/>
      <c r="G65" s="16" t="n"/>
      <c r="H65" s="25">
        <f>IF($A65="","",IF($G65&lt;&gt;"",$G65,DATE(YEAR($A65)+IF(MONTH($A65)=12,1,0),IF(MONTH($A65)=12,1,MONTH($A65)+1),1)))</f>
        <v/>
      </c>
      <c r="I65" s="26">
        <f>IF(OR($E65="",$F65=""),"",ROUND($E65/$F65,0))</f>
        <v/>
      </c>
      <c r="J65" s="20">
        <f>IF($K65=0,"",($K65+$F65-1-INT(($K65+$F65-2)/12)*12)&amp;"/"&amp;INT(($K65+$F65-2)/12))</f>
        <v/>
      </c>
      <c r="K65" s="21">
        <f>IF($H65="",0,YEAR($H65)*12+MONTH($H65))</f>
        <v/>
      </c>
      <c r="L65" s="26">
        <f>IF($K65=0,"",SUMPRODUCT((PARCELAS!$C65:$AL65&gt;0)*(PARCELAS!$C65:$AL65&lt;=YEAR(TODAY())*12+MONTH(TODAY()))*PARCELAS!$AM65:$BV65))</f>
        <v/>
      </c>
      <c r="M65" s="26">
        <f>IF($K65=0,"",$E65-$L65)</f>
        <v/>
      </c>
    </row>
    <row r="68">
      <c r="A68" s="27" t="inlineStr">
        <is>
          <t>SALDO POR CARTÃO</t>
        </is>
      </c>
      <c r="B68" s="28" t="n"/>
      <c r="C68" s="28" t="n"/>
      <c r="D68" s="28" t="n"/>
      <c r="E68" s="29" t="n"/>
    </row>
    <row r="69" ht="30" customHeight="1">
      <c r="A69" s="15" t="inlineStr">
        <is>
          <t>Cartão</t>
        </is>
      </c>
      <c r="B69" s="15" t="inlineStr">
        <is>
          <t>Total comprado</t>
        </is>
      </c>
      <c r="C69" s="15" t="inlineStr">
        <is>
          <t>Já pago</t>
        </is>
      </c>
      <c r="D69" s="15" t="inlineStr">
        <is>
          <t>Falta pagar</t>
        </is>
      </c>
      <c r="E69" s="15" t="inlineStr">
        <is>
          <t>Parcelas em aberto</t>
        </is>
      </c>
    </row>
    <row r="70">
      <c r="A70" s="30">
        <f>IF(LISTAS!$F6="","",LISTAS!$F6)</f>
        <v/>
      </c>
      <c r="B70" s="31">
        <f>IF($A70="","",SUMIF($B$6:$B$65,$A70,$E$6:$E$65))</f>
        <v/>
      </c>
      <c r="C70" s="31">
        <f>IF($A70="","",SUMIF($B$6:$B$65,$A70,$L$6:$L$65))</f>
        <v/>
      </c>
      <c r="D70" s="32">
        <f>IF($A70="","",SUMIF($B$6:$B$65,$A70,$M$6:$M$65))</f>
        <v/>
      </c>
      <c r="E70" s="33">
        <f>IF($A70="","",SUMPRODUCT((PARCELAS!$C$6:$AL$65&gt;YEAR(TODAY())*12+MONTH(TODAY()))*(PARCELAS!$AM$6:$BV$65&gt;0)*1*(CARTÕES!$B$6:$B$65=$A70)))</f>
        <v/>
      </c>
    </row>
    <row r="71">
      <c r="A71" s="30">
        <f>IF(LISTAS!$F7="","",LISTAS!$F7)</f>
        <v/>
      </c>
      <c r="B71" s="31">
        <f>IF($A71="","",SUMIF($B$6:$B$65,$A71,$E$6:$E$65))</f>
        <v/>
      </c>
      <c r="C71" s="31">
        <f>IF($A71="","",SUMIF($B$6:$B$65,$A71,$L$6:$L$65))</f>
        <v/>
      </c>
      <c r="D71" s="32">
        <f>IF($A71="","",SUMIF($B$6:$B$65,$A71,$M$6:$M$65))</f>
        <v/>
      </c>
      <c r="E71" s="33">
        <f>IF($A71="","",SUMPRODUCT((PARCELAS!$C$6:$AL$65&gt;YEAR(TODAY())*12+MONTH(TODAY()))*(PARCELAS!$AM$6:$BV$65&gt;0)*1*(CARTÕES!$B$6:$B$65=$A71)))</f>
        <v/>
      </c>
    </row>
    <row r="72">
      <c r="A72" s="30">
        <f>IF(LISTAS!$F8="","",LISTAS!$F8)</f>
        <v/>
      </c>
      <c r="B72" s="31">
        <f>IF($A72="","",SUMIF($B$6:$B$65,$A72,$E$6:$E$65))</f>
        <v/>
      </c>
      <c r="C72" s="31">
        <f>IF($A72="","",SUMIF($B$6:$B$65,$A72,$L$6:$L$65))</f>
        <v/>
      </c>
      <c r="D72" s="32">
        <f>IF($A72="","",SUMIF($B$6:$B$65,$A72,$M$6:$M$65))</f>
        <v/>
      </c>
      <c r="E72" s="33">
        <f>IF($A72="","",SUMPRODUCT((PARCELAS!$C$6:$AL$65&gt;YEAR(TODAY())*12+MONTH(TODAY()))*(PARCELAS!$AM$6:$BV$65&gt;0)*1*(CARTÕES!$B$6:$B$65=$A72)))</f>
        <v/>
      </c>
    </row>
    <row r="73">
      <c r="A73" s="30">
        <f>IF(LISTAS!$F9="","",LISTAS!$F9)</f>
        <v/>
      </c>
      <c r="B73" s="31">
        <f>IF($A73="","",SUMIF($B$6:$B$65,$A73,$E$6:$E$65))</f>
        <v/>
      </c>
      <c r="C73" s="31">
        <f>IF($A73="","",SUMIF($B$6:$B$65,$A73,$L$6:$L$65))</f>
        <v/>
      </c>
      <c r="D73" s="32">
        <f>IF($A73="","",SUMIF($B$6:$B$65,$A73,$M$6:$M$65))</f>
        <v/>
      </c>
      <c r="E73" s="33">
        <f>IF($A73="","",SUMPRODUCT((PARCELAS!$C$6:$AL$65&gt;YEAR(TODAY())*12+MONTH(TODAY()))*(PARCELAS!$AM$6:$BV$65&gt;0)*1*(CARTÕES!$B$6:$B$65=$A73)))</f>
        <v/>
      </c>
    </row>
    <row r="74">
      <c r="A74" s="30">
        <f>IF(LISTAS!$F10="","",LISTAS!$F10)</f>
        <v/>
      </c>
      <c r="B74" s="31">
        <f>IF($A74="","",SUMIF($B$6:$B$65,$A74,$E$6:$E$65))</f>
        <v/>
      </c>
      <c r="C74" s="31">
        <f>IF($A74="","",SUMIF($B$6:$B$65,$A74,$L$6:$L$65))</f>
        <v/>
      </c>
      <c r="D74" s="32">
        <f>IF($A74="","",SUMIF($B$6:$B$65,$A74,$M$6:$M$65))</f>
        <v/>
      </c>
      <c r="E74" s="33">
        <f>IF($A74="","",SUMPRODUCT((PARCELAS!$C$6:$AL$65&gt;YEAR(TODAY())*12+MONTH(TODAY()))*(PARCELAS!$AM$6:$BV$65&gt;0)*1*(CARTÕES!$B$6:$B$65=$A74)))</f>
        <v/>
      </c>
    </row>
    <row r="75">
      <c r="A75" s="30">
        <f>IF(LISTAS!$F11="","",LISTAS!$F11)</f>
        <v/>
      </c>
      <c r="B75" s="31">
        <f>IF($A75="","",SUMIF($B$6:$B$65,$A75,$E$6:$E$65))</f>
        <v/>
      </c>
      <c r="C75" s="31">
        <f>IF($A75="","",SUMIF($B$6:$B$65,$A75,$L$6:$L$65))</f>
        <v/>
      </c>
      <c r="D75" s="32">
        <f>IF($A75="","",SUMIF($B$6:$B$65,$A75,$M$6:$M$65))</f>
        <v/>
      </c>
      <c r="E75" s="33">
        <f>IF($A75="","",SUMPRODUCT((PARCELAS!$C$6:$AL$65&gt;YEAR(TODAY())*12+MONTH(TODAY()))*(PARCELAS!$AM$6:$BV$65&gt;0)*1*(CARTÕES!$B$6:$B$65=$A75)))</f>
        <v/>
      </c>
    </row>
    <row r="76">
      <c r="A76" s="30">
        <f>IF(LISTAS!$F12="","",LISTAS!$F12)</f>
        <v/>
      </c>
      <c r="B76" s="31">
        <f>IF($A76="","",SUMIF($B$6:$B$65,$A76,$E$6:$E$65))</f>
        <v/>
      </c>
      <c r="C76" s="31">
        <f>IF($A76="","",SUMIF($B$6:$B$65,$A76,$L$6:$L$65))</f>
        <v/>
      </c>
      <c r="D76" s="32">
        <f>IF($A76="","",SUMIF($B$6:$B$65,$A76,$M$6:$M$65))</f>
        <v/>
      </c>
      <c r="E76" s="33">
        <f>IF($A76="","",SUMPRODUCT((PARCELAS!$C$6:$AL$65&gt;YEAR(TODAY())*12+MONTH(TODAY()))*(PARCELAS!$AM$6:$BV$65&gt;0)*1*(CARTÕES!$B$6:$B$65=$A76)))</f>
        <v/>
      </c>
    </row>
    <row r="77">
      <c r="A77" s="30">
        <f>IF(LISTAS!$F13="","",LISTAS!$F13)</f>
        <v/>
      </c>
      <c r="B77" s="31">
        <f>IF($A77="","",SUMIF($B$6:$B$65,$A77,$E$6:$E$65))</f>
        <v/>
      </c>
      <c r="C77" s="31">
        <f>IF($A77="","",SUMIF($B$6:$B$65,$A77,$L$6:$L$65))</f>
        <v/>
      </c>
      <c r="D77" s="32">
        <f>IF($A77="","",SUMIF($B$6:$B$65,$A77,$M$6:$M$65))</f>
        <v/>
      </c>
      <c r="E77" s="33">
        <f>IF($A77="","",SUMPRODUCT((PARCELAS!$C$6:$AL$65&gt;YEAR(TODAY())*12+MONTH(TODAY()))*(PARCELAS!$AM$6:$BV$65&gt;0)*1*(CARTÕES!$B$6:$B$65=$A77)))</f>
        <v/>
      </c>
    </row>
    <row r="78">
      <c r="A78" s="34" t="inlineStr">
        <is>
          <t>TOTAL</t>
        </is>
      </c>
      <c r="B78" s="35">
        <f>SUM(B70:B77)</f>
        <v/>
      </c>
      <c r="C78" s="35">
        <f>SUM(C70:C77)</f>
        <v/>
      </c>
      <c r="D78" s="35">
        <f>SUM(D70:D77)</f>
        <v/>
      </c>
      <c r="E78" s="36">
        <f>SUM(E70:E77)</f>
        <v/>
      </c>
    </row>
  </sheetData>
  <mergeCells count="3">
    <mergeCell ref="A2:M2"/>
    <mergeCell ref="A1:M1"/>
    <mergeCell ref="A68:E68"/>
  </mergeCells>
  <dataValidations count="4">
    <dataValidation sqref="B6:B65" showDropDown="0" showInputMessage="0" showErrorMessage="0" allowBlank="1" errorTitle="Cartão" error="Cartão não está na lista. Cadastre o nome dele na aba LISTAS." type="list">
      <formula1>=LISTAS!$F$6:$F$13</formula1>
    </dataValidation>
    <dataValidation sqref="D6:D65" showDropDown="0" showInputMessage="0" showErrorMessage="0" allowBlank="1" errorTitle="Categoria" error="Categoria não está na lista. Cadastre na aba LISTAS." type="list">
      <formula1>=LISTAS!$A$6:$A$45</formula1>
    </dataValidation>
    <dataValidation sqref="F6:F65" showDropDown="0" showInputMessage="0" showErrorMessage="0" allowBlank="1" errorTitle="Parcelas" error="O número de parcelas tem que ser de 1 a 36." type="whole" operator="between">
      <formula1>1</formula1>
      <formula2>36</formula2>
    </dataValidation>
    <dataValidation sqref="E6:E65" showDropDown="0" showInputMessage="0" showErrorMessage="0" allowBlank="1" errorTitle="Valor" error="O valor total da compra tem que ser maior que zero." type="decimal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6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 ht="24" customHeight="1">
      <c r="A1" s="1" t="inlineStr">
        <is>
          <t>RESUMO MENSAL</t>
        </is>
      </c>
    </row>
    <row r="2">
      <c r="A2" s="2" t="inlineStr">
        <is>
          <t>Escolha o ano e o mês nas células amarelas. Tudo abaixo se recalcula sozinho.</t>
        </is>
      </c>
    </row>
    <row r="3">
      <c r="A3" s="9" t="inlineStr">
        <is>
          <t>Ano</t>
        </is>
      </c>
      <c r="B3" s="9" t="inlineStr">
        <is>
          <t>Mês</t>
        </is>
      </c>
      <c r="C3" s="10" t="inlineStr">
        <is>
          <t>Índice (auto)</t>
        </is>
      </c>
    </row>
    <row r="4">
      <c r="A4" s="37" t="n">
        <v>2026</v>
      </c>
      <c r="B4" s="37" t="n">
        <v>1</v>
      </c>
      <c r="C4" s="21">
        <f>$A$4*12+$B$4</f>
        <v/>
      </c>
      <c r="D4" s="23">
        <f>INDEX(LISTAS!$K$6:$K$17,$B$4)&amp;" de "&amp;$A$4</f>
        <v/>
      </c>
    </row>
    <row r="6">
      <c r="A6" s="7" t="inlineStr">
        <is>
          <t>Entradas REALIZADAS</t>
        </is>
      </c>
      <c r="B6" s="29" t="n"/>
      <c r="C6" s="38" t="inlineStr">
        <is>
          <t>Entradas PROJETADAS</t>
        </is>
      </c>
      <c r="D6" s="29" t="n"/>
      <c r="E6" s="8" t="inlineStr">
        <is>
          <t>Saídas REALIZADAS</t>
        </is>
      </c>
      <c r="F6" s="29" t="n"/>
      <c r="G6" s="38" t="inlineStr">
        <is>
          <t>Saídas PROJETADAS</t>
        </is>
      </c>
      <c r="H6" s="29" t="n"/>
    </row>
    <row r="7" ht="24" customHeight="1">
      <c r="A7" s="11">
        <f>SUMIFS('LANÇAMENTOS'!$G$6:$G$1005,'LANÇAMENTOS'!$I$6:$I$1005,$C$4,'LANÇAMENTOS'!$B$6:$B$1005,"ENTRADA",'LANÇAMENTOS'!$C$6:$C$1005,"REALIZADO")</f>
        <v/>
      </c>
      <c r="B7" s="29" t="n"/>
      <c r="C7" s="39">
        <f>SUMIFS('LANÇAMENTOS'!$G$6:$G$1005,'LANÇAMENTOS'!$I$6:$I$1005,$C$4,'LANÇAMENTOS'!$B$6:$B$1005,"ENTRADA",'LANÇAMENTOS'!$C$6:$C$1005,"PROJETADO")</f>
        <v/>
      </c>
      <c r="D7" s="29" t="n"/>
      <c r="E7" s="12">
        <f>SUMIFS('LANÇAMENTOS'!$G$6:$G$1005,'LANÇAMENTOS'!$I$6:$I$1005,$C$4,'LANÇAMENTOS'!$B$6:$B$1005,"SAÍDA",'LANÇAMENTOS'!$C$6:$C$1005,"REALIZADO")</f>
        <v/>
      </c>
      <c r="F7" s="29" t="n"/>
      <c r="G7" s="39">
        <f>SUMIFS('LANÇAMENTOS'!$G$6:$G$1005,'LANÇAMENTOS'!$I$6:$I$1005,$C$4,'LANÇAMENTOS'!$B$6:$B$1005,"SAÍDA",'LANÇAMENTOS'!$C$6:$C$1005,"PROJETADO")</f>
        <v/>
      </c>
      <c r="H7" s="29" t="n"/>
    </row>
    <row r="9" ht="22" customHeight="1">
      <c r="A9" s="40" t="inlineStr">
        <is>
          <t>Entradas do mês (realizado + projetado)</t>
        </is>
      </c>
      <c r="B9" s="11">
        <f>SUMIFS('LANÇAMENTOS'!$G$6:$G$1005,'LANÇAMENTOS'!$I$6:$I$1005,$C$4,'LANÇAMENTOS'!$B$6:$B$1005,"ENTRADA")</f>
        <v/>
      </c>
    </row>
    <row r="10" ht="22" customHeight="1">
      <c r="A10" s="41" t="inlineStr">
        <is>
          <t>Saídas do mês (realizado + projetado)</t>
        </is>
      </c>
      <c r="B10" s="12">
        <f>SUMIFS('LANÇAMENTOS'!$G$6:$G$1005,'LANÇAMENTOS'!$I$6:$I$1005,$C$4,'LANÇAMENTOS'!$B$6:$B$1005,"SAÍDA")</f>
        <v/>
      </c>
    </row>
    <row r="11" ht="22" customHeight="1">
      <c r="A11" s="41" t="inlineStr">
        <is>
          <t>Parcelas de cartão que vencem no mês</t>
        </is>
      </c>
      <c r="B11" s="12">
        <f>SUMPRODUCT((PARCELAS!$C$6:$AL$65=$C$4)*PARCELAS!$AM$6:$BV$65)</f>
        <v/>
      </c>
    </row>
    <row r="12" ht="22" customHeight="1">
      <c r="A12" s="34" t="inlineStr">
        <is>
          <t>RESULTADO DO MÊS</t>
        </is>
      </c>
      <c r="B12" s="42">
        <f>$B$9-$B$10-$B$11</f>
        <v/>
      </c>
    </row>
    <row r="14">
      <c r="A14" s="27" t="inlineStr">
        <is>
          <t>ENTRADAS POR CATEGORIA</t>
        </is>
      </c>
      <c r="B14" s="28" t="n"/>
      <c r="C14" s="28" t="n"/>
      <c r="D14" s="29" t="n"/>
      <c r="F14" s="27" t="inlineStr">
        <is>
          <t>SAÍDAS POR CATEGORIA</t>
        </is>
      </c>
      <c r="G14" s="28" t="n"/>
      <c r="H14" s="28" t="n"/>
      <c r="I14" s="29" t="n"/>
    </row>
    <row r="15" ht="30" customHeight="1">
      <c r="A15" s="15" t="inlineStr">
        <is>
          <t>Categoria</t>
        </is>
      </c>
      <c r="B15" s="15" t="inlineStr">
        <is>
          <t>Realizado</t>
        </is>
      </c>
      <c r="C15" s="15" t="inlineStr">
        <is>
          <t>Projetado</t>
        </is>
      </c>
      <c r="D15" s="15" t="inlineStr">
        <is>
          <t>Total</t>
        </is>
      </c>
      <c r="F15" s="15" t="inlineStr">
        <is>
          <t>Categoria</t>
        </is>
      </c>
      <c r="G15" s="15" t="inlineStr">
        <is>
          <t>Realizado</t>
        </is>
      </c>
      <c r="H15" s="15" t="inlineStr">
        <is>
          <t>Projetado</t>
        </is>
      </c>
      <c r="I15" s="15" t="inlineStr">
        <is>
          <t>Total</t>
        </is>
      </c>
    </row>
    <row r="16">
      <c r="A16" s="18">
        <f>IF(LISTAS!$B6="ENTRADA",LISTAS!$A6,"")</f>
        <v/>
      </c>
      <c r="B16" s="31">
        <f>IF($A16="","",SUMIFS('LANÇAMENTOS'!$G$6:$G$1005,'LANÇAMENTOS'!$I$6:$I$1005,$C$4,'LANÇAMENTOS'!$B$6:$B$1005,"ENTRADA",'LANÇAMENTOS'!$C$6:$C$1005,"REALIZADO",'LANÇAMENTOS'!$D$6:$D$1005,$A16))</f>
        <v/>
      </c>
      <c r="C16" s="31">
        <f>IF($A16="","",SUMIFS('LANÇAMENTOS'!$G$6:$G$1005,'LANÇAMENTOS'!$I$6:$I$1005,$C$4,'LANÇAMENTOS'!$B$6:$B$1005,"ENTRADA",'LANÇAMENTOS'!$C$6:$C$1005,"PROJETADO",'LANÇAMENTOS'!$D$6:$D$1005,$A16))</f>
        <v/>
      </c>
      <c r="D16" s="43">
        <f>IF($A16="","",SUMIFS('LANÇAMENTOS'!$G$6:$G$1005,'LANÇAMENTOS'!$I$6:$I$1005,$C$4,'LANÇAMENTOS'!$B$6:$B$1005,"ENTRADA",'LANÇAMENTOS'!$D$6:$D$1005,$A16))</f>
        <v/>
      </c>
      <c r="F16" s="18">
        <f>IF(LISTAS!$B6="SAÍDA",LISTAS!$A6,"")</f>
        <v/>
      </c>
      <c r="G16" s="31">
        <f>IF($F16="","",SUMIFS('LANÇAMENTOS'!$G$6:$G$1005,'LANÇAMENTOS'!$I$6:$I$1005,$C$4,'LANÇAMENTOS'!$B$6:$B$1005,"SAÍDA",'LANÇAMENTOS'!$C$6:$C$1005,"REALIZADO",'LANÇAMENTOS'!$D$6:$D$1005,$F16))</f>
        <v/>
      </c>
      <c r="H16" s="31">
        <f>IF($F16="","",SUMIFS('LANÇAMENTOS'!$G$6:$G$1005,'LANÇAMENTOS'!$I$6:$I$1005,$C$4,'LANÇAMENTOS'!$B$6:$B$1005,"SAÍDA",'LANÇAMENTOS'!$C$6:$C$1005,"PROJETADO",'LANÇAMENTOS'!$D$6:$D$1005,$F16))</f>
        <v/>
      </c>
      <c r="I16" s="43">
        <f>IF($F16="","",SUMIFS('LANÇAMENTOS'!$G$6:$G$1005,'LANÇAMENTOS'!$I$6:$I$1005,$C$4,'LANÇAMENTOS'!$B$6:$B$1005,"SAÍDA",'LANÇAMENTOS'!$D$6:$D$1005,$F16))</f>
        <v/>
      </c>
    </row>
    <row r="17">
      <c r="A17" s="18">
        <f>IF(LISTAS!$B7="ENTRADA",LISTAS!$A7,"")</f>
        <v/>
      </c>
      <c r="B17" s="31">
        <f>IF($A17="","",SUMIFS('LANÇAMENTOS'!$G$6:$G$1005,'LANÇAMENTOS'!$I$6:$I$1005,$C$4,'LANÇAMENTOS'!$B$6:$B$1005,"ENTRADA",'LANÇAMENTOS'!$C$6:$C$1005,"REALIZADO",'LANÇAMENTOS'!$D$6:$D$1005,$A17))</f>
        <v/>
      </c>
      <c r="C17" s="31">
        <f>IF($A17="","",SUMIFS('LANÇAMENTOS'!$G$6:$G$1005,'LANÇAMENTOS'!$I$6:$I$1005,$C$4,'LANÇAMENTOS'!$B$6:$B$1005,"ENTRADA",'LANÇAMENTOS'!$C$6:$C$1005,"PROJETADO",'LANÇAMENTOS'!$D$6:$D$1005,$A17))</f>
        <v/>
      </c>
      <c r="D17" s="43">
        <f>IF($A17="","",SUMIFS('LANÇAMENTOS'!$G$6:$G$1005,'LANÇAMENTOS'!$I$6:$I$1005,$C$4,'LANÇAMENTOS'!$B$6:$B$1005,"ENTRADA",'LANÇAMENTOS'!$D$6:$D$1005,$A17))</f>
        <v/>
      </c>
      <c r="F17" s="18">
        <f>IF(LISTAS!$B7="SAÍDA",LISTAS!$A7,"")</f>
        <v/>
      </c>
      <c r="G17" s="31">
        <f>IF($F17="","",SUMIFS('LANÇAMENTOS'!$G$6:$G$1005,'LANÇAMENTOS'!$I$6:$I$1005,$C$4,'LANÇAMENTOS'!$B$6:$B$1005,"SAÍDA",'LANÇAMENTOS'!$C$6:$C$1005,"REALIZADO",'LANÇAMENTOS'!$D$6:$D$1005,$F17))</f>
        <v/>
      </c>
      <c r="H17" s="31">
        <f>IF($F17="","",SUMIFS('LANÇAMENTOS'!$G$6:$G$1005,'LANÇAMENTOS'!$I$6:$I$1005,$C$4,'LANÇAMENTOS'!$B$6:$B$1005,"SAÍDA",'LANÇAMENTOS'!$C$6:$C$1005,"PROJETADO",'LANÇAMENTOS'!$D$6:$D$1005,$F17))</f>
        <v/>
      </c>
      <c r="I17" s="43">
        <f>IF($F17="","",SUMIFS('LANÇAMENTOS'!$G$6:$G$1005,'LANÇAMENTOS'!$I$6:$I$1005,$C$4,'LANÇAMENTOS'!$B$6:$B$1005,"SAÍDA",'LANÇAMENTOS'!$D$6:$D$1005,$F17))</f>
        <v/>
      </c>
    </row>
    <row r="18">
      <c r="A18" s="18">
        <f>IF(LISTAS!$B8="ENTRADA",LISTAS!$A8,"")</f>
        <v/>
      </c>
      <c r="B18" s="31">
        <f>IF($A18="","",SUMIFS('LANÇAMENTOS'!$G$6:$G$1005,'LANÇAMENTOS'!$I$6:$I$1005,$C$4,'LANÇAMENTOS'!$B$6:$B$1005,"ENTRADA",'LANÇAMENTOS'!$C$6:$C$1005,"REALIZADO",'LANÇAMENTOS'!$D$6:$D$1005,$A18))</f>
        <v/>
      </c>
      <c r="C18" s="31">
        <f>IF($A18="","",SUMIFS('LANÇAMENTOS'!$G$6:$G$1005,'LANÇAMENTOS'!$I$6:$I$1005,$C$4,'LANÇAMENTOS'!$B$6:$B$1005,"ENTRADA",'LANÇAMENTOS'!$C$6:$C$1005,"PROJETADO",'LANÇAMENTOS'!$D$6:$D$1005,$A18))</f>
        <v/>
      </c>
      <c r="D18" s="43">
        <f>IF($A18="","",SUMIFS('LANÇAMENTOS'!$G$6:$G$1005,'LANÇAMENTOS'!$I$6:$I$1005,$C$4,'LANÇAMENTOS'!$B$6:$B$1005,"ENTRADA",'LANÇAMENTOS'!$D$6:$D$1005,$A18))</f>
        <v/>
      </c>
      <c r="F18" s="18">
        <f>IF(LISTAS!$B8="SAÍDA",LISTAS!$A8,"")</f>
        <v/>
      </c>
      <c r="G18" s="31">
        <f>IF($F18="","",SUMIFS('LANÇAMENTOS'!$G$6:$G$1005,'LANÇAMENTOS'!$I$6:$I$1005,$C$4,'LANÇAMENTOS'!$B$6:$B$1005,"SAÍDA",'LANÇAMENTOS'!$C$6:$C$1005,"REALIZADO",'LANÇAMENTOS'!$D$6:$D$1005,$F18))</f>
        <v/>
      </c>
      <c r="H18" s="31">
        <f>IF($F18="","",SUMIFS('LANÇAMENTOS'!$G$6:$G$1005,'LANÇAMENTOS'!$I$6:$I$1005,$C$4,'LANÇAMENTOS'!$B$6:$B$1005,"SAÍDA",'LANÇAMENTOS'!$C$6:$C$1005,"PROJETADO",'LANÇAMENTOS'!$D$6:$D$1005,$F18))</f>
        <v/>
      </c>
      <c r="I18" s="43">
        <f>IF($F18="","",SUMIFS('LANÇAMENTOS'!$G$6:$G$1005,'LANÇAMENTOS'!$I$6:$I$1005,$C$4,'LANÇAMENTOS'!$B$6:$B$1005,"SAÍDA",'LANÇAMENTOS'!$D$6:$D$1005,$F18))</f>
        <v/>
      </c>
    </row>
    <row r="19">
      <c r="A19" s="18">
        <f>IF(LISTAS!$B9="ENTRADA",LISTAS!$A9,"")</f>
        <v/>
      </c>
      <c r="B19" s="31">
        <f>IF($A19="","",SUMIFS('LANÇAMENTOS'!$G$6:$G$1005,'LANÇAMENTOS'!$I$6:$I$1005,$C$4,'LANÇAMENTOS'!$B$6:$B$1005,"ENTRADA",'LANÇAMENTOS'!$C$6:$C$1005,"REALIZADO",'LANÇAMENTOS'!$D$6:$D$1005,$A19))</f>
        <v/>
      </c>
      <c r="C19" s="31">
        <f>IF($A19="","",SUMIFS('LANÇAMENTOS'!$G$6:$G$1005,'LANÇAMENTOS'!$I$6:$I$1005,$C$4,'LANÇAMENTOS'!$B$6:$B$1005,"ENTRADA",'LANÇAMENTOS'!$C$6:$C$1005,"PROJETADO",'LANÇAMENTOS'!$D$6:$D$1005,$A19))</f>
        <v/>
      </c>
      <c r="D19" s="43">
        <f>IF($A19="","",SUMIFS('LANÇAMENTOS'!$G$6:$G$1005,'LANÇAMENTOS'!$I$6:$I$1005,$C$4,'LANÇAMENTOS'!$B$6:$B$1005,"ENTRADA",'LANÇAMENTOS'!$D$6:$D$1005,$A19))</f>
        <v/>
      </c>
      <c r="F19" s="18">
        <f>IF(LISTAS!$B9="SAÍDA",LISTAS!$A9,"")</f>
        <v/>
      </c>
      <c r="G19" s="31">
        <f>IF($F19="","",SUMIFS('LANÇAMENTOS'!$G$6:$G$1005,'LANÇAMENTOS'!$I$6:$I$1005,$C$4,'LANÇAMENTOS'!$B$6:$B$1005,"SAÍDA",'LANÇAMENTOS'!$C$6:$C$1005,"REALIZADO",'LANÇAMENTOS'!$D$6:$D$1005,$F19))</f>
        <v/>
      </c>
      <c r="H19" s="31">
        <f>IF($F19="","",SUMIFS('LANÇAMENTOS'!$G$6:$G$1005,'LANÇAMENTOS'!$I$6:$I$1005,$C$4,'LANÇAMENTOS'!$B$6:$B$1005,"SAÍDA",'LANÇAMENTOS'!$C$6:$C$1005,"PROJETADO",'LANÇAMENTOS'!$D$6:$D$1005,$F19))</f>
        <v/>
      </c>
      <c r="I19" s="43">
        <f>IF($F19="","",SUMIFS('LANÇAMENTOS'!$G$6:$G$1005,'LANÇAMENTOS'!$I$6:$I$1005,$C$4,'LANÇAMENTOS'!$B$6:$B$1005,"SAÍDA",'LANÇAMENTOS'!$D$6:$D$1005,$F19))</f>
        <v/>
      </c>
    </row>
    <row r="20">
      <c r="A20" s="18">
        <f>IF(LISTAS!$B10="ENTRADA",LISTAS!$A10,"")</f>
        <v/>
      </c>
      <c r="B20" s="31">
        <f>IF($A20="","",SUMIFS('LANÇAMENTOS'!$G$6:$G$1005,'LANÇAMENTOS'!$I$6:$I$1005,$C$4,'LANÇAMENTOS'!$B$6:$B$1005,"ENTRADA",'LANÇAMENTOS'!$C$6:$C$1005,"REALIZADO",'LANÇAMENTOS'!$D$6:$D$1005,$A20))</f>
        <v/>
      </c>
      <c r="C20" s="31">
        <f>IF($A20="","",SUMIFS('LANÇAMENTOS'!$G$6:$G$1005,'LANÇAMENTOS'!$I$6:$I$1005,$C$4,'LANÇAMENTOS'!$B$6:$B$1005,"ENTRADA",'LANÇAMENTOS'!$C$6:$C$1005,"PROJETADO",'LANÇAMENTOS'!$D$6:$D$1005,$A20))</f>
        <v/>
      </c>
      <c r="D20" s="43">
        <f>IF($A20="","",SUMIFS('LANÇAMENTOS'!$G$6:$G$1005,'LANÇAMENTOS'!$I$6:$I$1005,$C$4,'LANÇAMENTOS'!$B$6:$B$1005,"ENTRADA",'LANÇAMENTOS'!$D$6:$D$1005,$A20))</f>
        <v/>
      </c>
      <c r="F20" s="18">
        <f>IF(LISTAS!$B10="SAÍDA",LISTAS!$A10,"")</f>
        <v/>
      </c>
      <c r="G20" s="31">
        <f>IF($F20="","",SUMIFS('LANÇAMENTOS'!$G$6:$G$1005,'LANÇAMENTOS'!$I$6:$I$1005,$C$4,'LANÇAMENTOS'!$B$6:$B$1005,"SAÍDA",'LANÇAMENTOS'!$C$6:$C$1005,"REALIZADO",'LANÇAMENTOS'!$D$6:$D$1005,$F20))</f>
        <v/>
      </c>
      <c r="H20" s="31">
        <f>IF($F20="","",SUMIFS('LANÇAMENTOS'!$G$6:$G$1005,'LANÇAMENTOS'!$I$6:$I$1005,$C$4,'LANÇAMENTOS'!$B$6:$B$1005,"SAÍDA",'LANÇAMENTOS'!$C$6:$C$1005,"PROJETADO",'LANÇAMENTOS'!$D$6:$D$1005,$F20))</f>
        <v/>
      </c>
      <c r="I20" s="43">
        <f>IF($F20="","",SUMIFS('LANÇAMENTOS'!$G$6:$G$1005,'LANÇAMENTOS'!$I$6:$I$1005,$C$4,'LANÇAMENTOS'!$B$6:$B$1005,"SAÍDA",'LANÇAMENTOS'!$D$6:$D$1005,$F20))</f>
        <v/>
      </c>
    </row>
    <row r="21">
      <c r="A21" s="18">
        <f>IF(LISTAS!$B11="ENTRADA",LISTAS!$A11,"")</f>
        <v/>
      </c>
      <c r="B21" s="31">
        <f>IF($A21="","",SUMIFS('LANÇAMENTOS'!$G$6:$G$1005,'LANÇAMENTOS'!$I$6:$I$1005,$C$4,'LANÇAMENTOS'!$B$6:$B$1005,"ENTRADA",'LANÇAMENTOS'!$C$6:$C$1005,"REALIZADO",'LANÇAMENTOS'!$D$6:$D$1005,$A21))</f>
        <v/>
      </c>
      <c r="C21" s="31">
        <f>IF($A21="","",SUMIFS('LANÇAMENTOS'!$G$6:$G$1005,'LANÇAMENTOS'!$I$6:$I$1005,$C$4,'LANÇAMENTOS'!$B$6:$B$1005,"ENTRADA",'LANÇAMENTOS'!$C$6:$C$1005,"PROJETADO",'LANÇAMENTOS'!$D$6:$D$1005,$A21))</f>
        <v/>
      </c>
      <c r="D21" s="43">
        <f>IF($A21="","",SUMIFS('LANÇAMENTOS'!$G$6:$G$1005,'LANÇAMENTOS'!$I$6:$I$1005,$C$4,'LANÇAMENTOS'!$B$6:$B$1005,"ENTRADA",'LANÇAMENTOS'!$D$6:$D$1005,$A21))</f>
        <v/>
      </c>
      <c r="F21" s="18">
        <f>IF(LISTAS!$B11="SAÍDA",LISTAS!$A11,"")</f>
        <v/>
      </c>
      <c r="G21" s="31">
        <f>IF($F21="","",SUMIFS('LANÇAMENTOS'!$G$6:$G$1005,'LANÇAMENTOS'!$I$6:$I$1005,$C$4,'LANÇAMENTOS'!$B$6:$B$1005,"SAÍDA",'LANÇAMENTOS'!$C$6:$C$1005,"REALIZADO",'LANÇAMENTOS'!$D$6:$D$1005,$F21))</f>
        <v/>
      </c>
      <c r="H21" s="31">
        <f>IF($F21="","",SUMIFS('LANÇAMENTOS'!$G$6:$G$1005,'LANÇAMENTOS'!$I$6:$I$1005,$C$4,'LANÇAMENTOS'!$B$6:$B$1005,"SAÍDA",'LANÇAMENTOS'!$C$6:$C$1005,"PROJETADO",'LANÇAMENTOS'!$D$6:$D$1005,$F21))</f>
        <v/>
      </c>
      <c r="I21" s="43">
        <f>IF($F21="","",SUMIFS('LANÇAMENTOS'!$G$6:$G$1005,'LANÇAMENTOS'!$I$6:$I$1005,$C$4,'LANÇAMENTOS'!$B$6:$B$1005,"SAÍDA",'LANÇAMENTOS'!$D$6:$D$1005,$F21))</f>
        <v/>
      </c>
    </row>
    <row r="22">
      <c r="A22" s="18">
        <f>IF(LISTAS!$B12="ENTRADA",LISTAS!$A12,"")</f>
        <v/>
      </c>
      <c r="B22" s="31">
        <f>IF($A22="","",SUMIFS('LANÇAMENTOS'!$G$6:$G$1005,'LANÇAMENTOS'!$I$6:$I$1005,$C$4,'LANÇAMENTOS'!$B$6:$B$1005,"ENTRADA",'LANÇAMENTOS'!$C$6:$C$1005,"REALIZADO",'LANÇAMENTOS'!$D$6:$D$1005,$A22))</f>
        <v/>
      </c>
      <c r="C22" s="31">
        <f>IF($A22="","",SUMIFS('LANÇAMENTOS'!$G$6:$G$1005,'LANÇAMENTOS'!$I$6:$I$1005,$C$4,'LANÇAMENTOS'!$B$6:$B$1005,"ENTRADA",'LANÇAMENTOS'!$C$6:$C$1005,"PROJETADO",'LANÇAMENTOS'!$D$6:$D$1005,$A22))</f>
        <v/>
      </c>
      <c r="D22" s="43">
        <f>IF($A22="","",SUMIFS('LANÇAMENTOS'!$G$6:$G$1005,'LANÇAMENTOS'!$I$6:$I$1005,$C$4,'LANÇAMENTOS'!$B$6:$B$1005,"ENTRADA",'LANÇAMENTOS'!$D$6:$D$1005,$A22))</f>
        <v/>
      </c>
      <c r="F22" s="18">
        <f>IF(LISTAS!$B12="SAÍDA",LISTAS!$A12,"")</f>
        <v/>
      </c>
      <c r="G22" s="31">
        <f>IF($F22="","",SUMIFS('LANÇAMENTOS'!$G$6:$G$1005,'LANÇAMENTOS'!$I$6:$I$1005,$C$4,'LANÇAMENTOS'!$B$6:$B$1005,"SAÍDA",'LANÇAMENTOS'!$C$6:$C$1005,"REALIZADO",'LANÇAMENTOS'!$D$6:$D$1005,$F22))</f>
        <v/>
      </c>
      <c r="H22" s="31">
        <f>IF($F22="","",SUMIFS('LANÇAMENTOS'!$G$6:$G$1005,'LANÇAMENTOS'!$I$6:$I$1005,$C$4,'LANÇAMENTOS'!$B$6:$B$1005,"SAÍDA",'LANÇAMENTOS'!$C$6:$C$1005,"PROJETADO",'LANÇAMENTOS'!$D$6:$D$1005,$F22))</f>
        <v/>
      </c>
      <c r="I22" s="43">
        <f>IF($F22="","",SUMIFS('LANÇAMENTOS'!$G$6:$G$1005,'LANÇAMENTOS'!$I$6:$I$1005,$C$4,'LANÇAMENTOS'!$B$6:$B$1005,"SAÍDA",'LANÇAMENTOS'!$D$6:$D$1005,$F22))</f>
        <v/>
      </c>
    </row>
    <row r="23">
      <c r="A23" s="18">
        <f>IF(LISTAS!$B13="ENTRADA",LISTAS!$A13,"")</f>
        <v/>
      </c>
      <c r="B23" s="31">
        <f>IF($A23="","",SUMIFS('LANÇAMENTOS'!$G$6:$G$1005,'LANÇAMENTOS'!$I$6:$I$1005,$C$4,'LANÇAMENTOS'!$B$6:$B$1005,"ENTRADA",'LANÇAMENTOS'!$C$6:$C$1005,"REALIZADO",'LANÇAMENTOS'!$D$6:$D$1005,$A23))</f>
        <v/>
      </c>
      <c r="C23" s="31">
        <f>IF($A23="","",SUMIFS('LANÇAMENTOS'!$G$6:$G$1005,'LANÇAMENTOS'!$I$6:$I$1005,$C$4,'LANÇAMENTOS'!$B$6:$B$1005,"ENTRADA",'LANÇAMENTOS'!$C$6:$C$1005,"PROJETADO",'LANÇAMENTOS'!$D$6:$D$1005,$A23))</f>
        <v/>
      </c>
      <c r="D23" s="43">
        <f>IF($A23="","",SUMIFS('LANÇAMENTOS'!$G$6:$G$1005,'LANÇAMENTOS'!$I$6:$I$1005,$C$4,'LANÇAMENTOS'!$B$6:$B$1005,"ENTRADA",'LANÇAMENTOS'!$D$6:$D$1005,$A23))</f>
        <v/>
      </c>
      <c r="F23" s="18">
        <f>IF(LISTAS!$B13="SAÍDA",LISTAS!$A13,"")</f>
        <v/>
      </c>
      <c r="G23" s="31">
        <f>IF($F23="","",SUMIFS('LANÇAMENTOS'!$G$6:$G$1005,'LANÇAMENTOS'!$I$6:$I$1005,$C$4,'LANÇAMENTOS'!$B$6:$B$1005,"SAÍDA",'LANÇAMENTOS'!$C$6:$C$1005,"REALIZADO",'LANÇAMENTOS'!$D$6:$D$1005,$F23))</f>
        <v/>
      </c>
      <c r="H23" s="31">
        <f>IF($F23="","",SUMIFS('LANÇAMENTOS'!$G$6:$G$1005,'LANÇAMENTOS'!$I$6:$I$1005,$C$4,'LANÇAMENTOS'!$B$6:$B$1005,"SAÍDA",'LANÇAMENTOS'!$C$6:$C$1005,"PROJETADO",'LANÇAMENTOS'!$D$6:$D$1005,$F23))</f>
        <v/>
      </c>
      <c r="I23" s="43">
        <f>IF($F23="","",SUMIFS('LANÇAMENTOS'!$G$6:$G$1005,'LANÇAMENTOS'!$I$6:$I$1005,$C$4,'LANÇAMENTOS'!$B$6:$B$1005,"SAÍDA",'LANÇAMENTOS'!$D$6:$D$1005,$F23))</f>
        <v/>
      </c>
    </row>
    <row r="24">
      <c r="A24" s="18">
        <f>IF(LISTAS!$B14="ENTRADA",LISTAS!$A14,"")</f>
        <v/>
      </c>
      <c r="B24" s="31">
        <f>IF($A24="","",SUMIFS('LANÇAMENTOS'!$G$6:$G$1005,'LANÇAMENTOS'!$I$6:$I$1005,$C$4,'LANÇAMENTOS'!$B$6:$B$1005,"ENTRADA",'LANÇAMENTOS'!$C$6:$C$1005,"REALIZADO",'LANÇAMENTOS'!$D$6:$D$1005,$A24))</f>
        <v/>
      </c>
      <c r="C24" s="31">
        <f>IF($A24="","",SUMIFS('LANÇAMENTOS'!$G$6:$G$1005,'LANÇAMENTOS'!$I$6:$I$1005,$C$4,'LANÇAMENTOS'!$B$6:$B$1005,"ENTRADA",'LANÇAMENTOS'!$C$6:$C$1005,"PROJETADO",'LANÇAMENTOS'!$D$6:$D$1005,$A24))</f>
        <v/>
      </c>
      <c r="D24" s="43">
        <f>IF($A24="","",SUMIFS('LANÇAMENTOS'!$G$6:$G$1005,'LANÇAMENTOS'!$I$6:$I$1005,$C$4,'LANÇAMENTOS'!$B$6:$B$1005,"ENTRADA",'LANÇAMENTOS'!$D$6:$D$1005,$A24))</f>
        <v/>
      </c>
      <c r="F24" s="18">
        <f>IF(LISTAS!$B14="SAÍDA",LISTAS!$A14,"")</f>
        <v/>
      </c>
      <c r="G24" s="31">
        <f>IF($F24="","",SUMIFS('LANÇAMENTOS'!$G$6:$G$1005,'LANÇAMENTOS'!$I$6:$I$1005,$C$4,'LANÇAMENTOS'!$B$6:$B$1005,"SAÍDA",'LANÇAMENTOS'!$C$6:$C$1005,"REALIZADO",'LANÇAMENTOS'!$D$6:$D$1005,$F24))</f>
        <v/>
      </c>
      <c r="H24" s="31">
        <f>IF($F24="","",SUMIFS('LANÇAMENTOS'!$G$6:$G$1005,'LANÇAMENTOS'!$I$6:$I$1005,$C$4,'LANÇAMENTOS'!$B$6:$B$1005,"SAÍDA",'LANÇAMENTOS'!$C$6:$C$1005,"PROJETADO",'LANÇAMENTOS'!$D$6:$D$1005,$F24))</f>
        <v/>
      </c>
      <c r="I24" s="43">
        <f>IF($F24="","",SUMIFS('LANÇAMENTOS'!$G$6:$G$1005,'LANÇAMENTOS'!$I$6:$I$1005,$C$4,'LANÇAMENTOS'!$B$6:$B$1005,"SAÍDA",'LANÇAMENTOS'!$D$6:$D$1005,$F24))</f>
        <v/>
      </c>
    </row>
    <row r="25">
      <c r="A25" s="18">
        <f>IF(LISTAS!$B15="ENTRADA",LISTAS!$A15,"")</f>
        <v/>
      </c>
      <c r="B25" s="31">
        <f>IF($A25="","",SUMIFS('LANÇAMENTOS'!$G$6:$G$1005,'LANÇAMENTOS'!$I$6:$I$1005,$C$4,'LANÇAMENTOS'!$B$6:$B$1005,"ENTRADA",'LANÇAMENTOS'!$C$6:$C$1005,"REALIZADO",'LANÇAMENTOS'!$D$6:$D$1005,$A25))</f>
        <v/>
      </c>
      <c r="C25" s="31">
        <f>IF($A25="","",SUMIFS('LANÇAMENTOS'!$G$6:$G$1005,'LANÇAMENTOS'!$I$6:$I$1005,$C$4,'LANÇAMENTOS'!$B$6:$B$1005,"ENTRADA",'LANÇAMENTOS'!$C$6:$C$1005,"PROJETADO",'LANÇAMENTOS'!$D$6:$D$1005,$A25))</f>
        <v/>
      </c>
      <c r="D25" s="43">
        <f>IF($A25="","",SUMIFS('LANÇAMENTOS'!$G$6:$G$1005,'LANÇAMENTOS'!$I$6:$I$1005,$C$4,'LANÇAMENTOS'!$B$6:$B$1005,"ENTRADA",'LANÇAMENTOS'!$D$6:$D$1005,$A25))</f>
        <v/>
      </c>
      <c r="F25" s="18">
        <f>IF(LISTAS!$B15="SAÍDA",LISTAS!$A15,"")</f>
        <v/>
      </c>
      <c r="G25" s="31">
        <f>IF($F25="","",SUMIFS('LANÇAMENTOS'!$G$6:$G$1005,'LANÇAMENTOS'!$I$6:$I$1005,$C$4,'LANÇAMENTOS'!$B$6:$B$1005,"SAÍDA",'LANÇAMENTOS'!$C$6:$C$1005,"REALIZADO",'LANÇAMENTOS'!$D$6:$D$1005,$F25))</f>
        <v/>
      </c>
      <c r="H25" s="31">
        <f>IF($F25="","",SUMIFS('LANÇAMENTOS'!$G$6:$G$1005,'LANÇAMENTOS'!$I$6:$I$1005,$C$4,'LANÇAMENTOS'!$B$6:$B$1005,"SAÍDA",'LANÇAMENTOS'!$C$6:$C$1005,"PROJETADO",'LANÇAMENTOS'!$D$6:$D$1005,$F25))</f>
        <v/>
      </c>
      <c r="I25" s="43">
        <f>IF($F25="","",SUMIFS('LANÇAMENTOS'!$G$6:$G$1005,'LANÇAMENTOS'!$I$6:$I$1005,$C$4,'LANÇAMENTOS'!$B$6:$B$1005,"SAÍDA",'LANÇAMENTOS'!$D$6:$D$1005,$F25))</f>
        <v/>
      </c>
    </row>
    <row r="26">
      <c r="A26" s="18">
        <f>IF(LISTAS!$B16="ENTRADA",LISTAS!$A16,"")</f>
        <v/>
      </c>
      <c r="B26" s="31">
        <f>IF($A26="","",SUMIFS('LANÇAMENTOS'!$G$6:$G$1005,'LANÇAMENTOS'!$I$6:$I$1005,$C$4,'LANÇAMENTOS'!$B$6:$B$1005,"ENTRADA",'LANÇAMENTOS'!$C$6:$C$1005,"REALIZADO",'LANÇAMENTOS'!$D$6:$D$1005,$A26))</f>
        <v/>
      </c>
      <c r="C26" s="31">
        <f>IF($A26="","",SUMIFS('LANÇAMENTOS'!$G$6:$G$1005,'LANÇAMENTOS'!$I$6:$I$1005,$C$4,'LANÇAMENTOS'!$B$6:$B$1005,"ENTRADA",'LANÇAMENTOS'!$C$6:$C$1005,"PROJETADO",'LANÇAMENTOS'!$D$6:$D$1005,$A26))</f>
        <v/>
      </c>
      <c r="D26" s="43">
        <f>IF($A26="","",SUMIFS('LANÇAMENTOS'!$G$6:$G$1005,'LANÇAMENTOS'!$I$6:$I$1005,$C$4,'LANÇAMENTOS'!$B$6:$B$1005,"ENTRADA",'LANÇAMENTOS'!$D$6:$D$1005,$A26))</f>
        <v/>
      </c>
      <c r="F26" s="18">
        <f>IF(LISTAS!$B16="SAÍDA",LISTAS!$A16,"")</f>
        <v/>
      </c>
      <c r="G26" s="31">
        <f>IF($F26="","",SUMIFS('LANÇAMENTOS'!$G$6:$G$1005,'LANÇAMENTOS'!$I$6:$I$1005,$C$4,'LANÇAMENTOS'!$B$6:$B$1005,"SAÍDA",'LANÇAMENTOS'!$C$6:$C$1005,"REALIZADO",'LANÇAMENTOS'!$D$6:$D$1005,$F26))</f>
        <v/>
      </c>
      <c r="H26" s="31">
        <f>IF($F26="","",SUMIFS('LANÇAMENTOS'!$G$6:$G$1005,'LANÇAMENTOS'!$I$6:$I$1005,$C$4,'LANÇAMENTOS'!$B$6:$B$1005,"SAÍDA",'LANÇAMENTOS'!$C$6:$C$1005,"PROJETADO",'LANÇAMENTOS'!$D$6:$D$1005,$F26))</f>
        <v/>
      </c>
      <c r="I26" s="43">
        <f>IF($F26="","",SUMIFS('LANÇAMENTOS'!$G$6:$G$1005,'LANÇAMENTOS'!$I$6:$I$1005,$C$4,'LANÇAMENTOS'!$B$6:$B$1005,"SAÍDA",'LANÇAMENTOS'!$D$6:$D$1005,$F26))</f>
        <v/>
      </c>
    </row>
    <row r="27">
      <c r="A27" s="18">
        <f>IF(LISTAS!$B17="ENTRADA",LISTAS!$A17,"")</f>
        <v/>
      </c>
      <c r="B27" s="31">
        <f>IF($A27="","",SUMIFS('LANÇAMENTOS'!$G$6:$G$1005,'LANÇAMENTOS'!$I$6:$I$1005,$C$4,'LANÇAMENTOS'!$B$6:$B$1005,"ENTRADA",'LANÇAMENTOS'!$C$6:$C$1005,"REALIZADO",'LANÇAMENTOS'!$D$6:$D$1005,$A27))</f>
        <v/>
      </c>
      <c r="C27" s="31">
        <f>IF($A27="","",SUMIFS('LANÇAMENTOS'!$G$6:$G$1005,'LANÇAMENTOS'!$I$6:$I$1005,$C$4,'LANÇAMENTOS'!$B$6:$B$1005,"ENTRADA",'LANÇAMENTOS'!$C$6:$C$1005,"PROJETADO",'LANÇAMENTOS'!$D$6:$D$1005,$A27))</f>
        <v/>
      </c>
      <c r="D27" s="43">
        <f>IF($A27="","",SUMIFS('LANÇAMENTOS'!$G$6:$G$1005,'LANÇAMENTOS'!$I$6:$I$1005,$C$4,'LANÇAMENTOS'!$B$6:$B$1005,"ENTRADA",'LANÇAMENTOS'!$D$6:$D$1005,$A27))</f>
        <v/>
      </c>
      <c r="F27" s="18">
        <f>IF(LISTAS!$B17="SAÍDA",LISTAS!$A17,"")</f>
        <v/>
      </c>
      <c r="G27" s="31">
        <f>IF($F27="","",SUMIFS('LANÇAMENTOS'!$G$6:$G$1005,'LANÇAMENTOS'!$I$6:$I$1005,$C$4,'LANÇAMENTOS'!$B$6:$B$1005,"SAÍDA",'LANÇAMENTOS'!$C$6:$C$1005,"REALIZADO",'LANÇAMENTOS'!$D$6:$D$1005,$F27))</f>
        <v/>
      </c>
      <c r="H27" s="31">
        <f>IF($F27="","",SUMIFS('LANÇAMENTOS'!$G$6:$G$1005,'LANÇAMENTOS'!$I$6:$I$1005,$C$4,'LANÇAMENTOS'!$B$6:$B$1005,"SAÍDA",'LANÇAMENTOS'!$C$6:$C$1005,"PROJETADO",'LANÇAMENTOS'!$D$6:$D$1005,$F27))</f>
        <v/>
      </c>
      <c r="I27" s="43">
        <f>IF($F27="","",SUMIFS('LANÇAMENTOS'!$G$6:$G$1005,'LANÇAMENTOS'!$I$6:$I$1005,$C$4,'LANÇAMENTOS'!$B$6:$B$1005,"SAÍDA",'LANÇAMENTOS'!$D$6:$D$1005,$F27))</f>
        <v/>
      </c>
    </row>
    <row r="28">
      <c r="A28" s="18">
        <f>IF(LISTAS!$B18="ENTRADA",LISTAS!$A18,"")</f>
        <v/>
      </c>
      <c r="B28" s="31">
        <f>IF($A28="","",SUMIFS('LANÇAMENTOS'!$G$6:$G$1005,'LANÇAMENTOS'!$I$6:$I$1005,$C$4,'LANÇAMENTOS'!$B$6:$B$1005,"ENTRADA",'LANÇAMENTOS'!$C$6:$C$1005,"REALIZADO",'LANÇAMENTOS'!$D$6:$D$1005,$A28))</f>
        <v/>
      </c>
      <c r="C28" s="31">
        <f>IF($A28="","",SUMIFS('LANÇAMENTOS'!$G$6:$G$1005,'LANÇAMENTOS'!$I$6:$I$1005,$C$4,'LANÇAMENTOS'!$B$6:$B$1005,"ENTRADA",'LANÇAMENTOS'!$C$6:$C$1005,"PROJETADO",'LANÇAMENTOS'!$D$6:$D$1005,$A28))</f>
        <v/>
      </c>
      <c r="D28" s="43">
        <f>IF($A28="","",SUMIFS('LANÇAMENTOS'!$G$6:$G$1005,'LANÇAMENTOS'!$I$6:$I$1005,$C$4,'LANÇAMENTOS'!$B$6:$B$1005,"ENTRADA",'LANÇAMENTOS'!$D$6:$D$1005,$A28))</f>
        <v/>
      </c>
      <c r="F28" s="18">
        <f>IF(LISTAS!$B18="SAÍDA",LISTAS!$A18,"")</f>
        <v/>
      </c>
      <c r="G28" s="31">
        <f>IF($F28="","",SUMIFS('LANÇAMENTOS'!$G$6:$G$1005,'LANÇAMENTOS'!$I$6:$I$1005,$C$4,'LANÇAMENTOS'!$B$6:$B$1005,"SAÍDA",'LANÇAMENTOS'!$C$6:$C$1005,"REALIZADO",'LANÇAMENTOS'!$D$6:$D$1005,$F28))</f>
        <v/>
      </c>
      <c r="H28" s="31">
        <f>IF($F28="","",SUMIFS('LANÇAMENTOS'!$G$6:$G$1005,'LANÇAMENTOS'!$I$6:$I$1005,$C$4,'LANÇAMENTOS'!$B$6:$B$1005,"SAÍDA",'LANÇAMENTOS'!$C$6:$C$1005,"PROJETADO",'LANÇAMENTOS'!$D$6:$D$1005,$F28))</f>
        <v/>
      </c>
      <c r="I28" s="43">
        <f>IF($F28="","",SUMIFS('LANÇAMENTOS'!$G$6:$G$1005,'LANÇAMENTOS'!$I$6:$I$1005,$C$4,'LANÇAMENTOS'!$B$6:$B$1005,"SAÍDA",'LANÇAMENTOS'!$D$6:$D$1005,$F28))</f>
        <v/>
      </c>
    </row>
    <row r="29">
      <c r="A29" s="18">
        <f>IF(LISTAS!$B19="ENTRADA",LISTAS!$A19,"")</f>
        <v/>
      </c>
      <c r="B29" s="31">
        <f>IF($A29="","",SUMIFS('LANÇAMENTOS'!$G$6:$G$1005,'LANÇAMENTOS'!$I$6:$I$1005,$C$4,'LANÇAMENTOS'!$B$6:$B$1005,"ENTRADA",'LANÇAMENTOS'!$C$6:$C$1005,"REALIZADO",'LANÇAMENTOS'!$D$6:$D$1005,$A29))</f>
        <v/>
      </c>
      <c r="C29" s="31">
        <f>IF($A29="","",SUMIFS('LANÇAMENTOS'!$G$6:$G$1005,'LANÇAMENTOS'!$I$6:$I$1005,$C$4,'LANÇAMENTOS'!$B$6:$B$1005,"ENTRADA",'LANÇAMENTOS'!$C$6:$C$1005,"PROJETADO",'LANÇAMENTOS'!$D$6:$D$1005,$A29))</f>
        <v/>
      </c>
      <c r="D29" s="43">
        <f>IF($A29="","",SUMIFS('LANÇAMENTOS'!$G$6:$G$1005,'LANÇAMENTOS'!$I$6:$I$1005,$C$4,'LANÇAMENTOS'!$B$6:$B$1005,"ENTRADA",'LANÇAMENTOS'!$D$6:$D$1005,$A29))</f>
        <v/>
      </c>
      <c r="F29" s="18">
        <f>IF(LISTAS!$B19="SAÍDA",LISTAS!$A19,"")</f>
        <v/>
      </c>
      <c r="G29" s="31">
        <f>IF($F29="","",SUMIFS('LANÇAMENTOS'!$G$6:$G$1005,'LANÇAMENTOS'!$I$6:$I$1005,$C$4,'LANÇAMENTOS'!$B$6:$B$1005,"SAÍDA",'LANÇAMENTOS'!$C$6:$C$1005,"REALIZADO",'LANÇAMENTOS'!$D$6:$D$1005,$F29))</f>
        <v/>
      </c>
      <c r="H29" s="31">
        <f>IF($F29="","",SUMIFS('LANÇAMENTOS'!$G$6:$G$1005,'LANÇAMENTOS'!$I$6:$I$1005,$C$4,'LANÇAMENTOS'!$B$6:$B$1005,"SAÍDA",'LANÇAMENTOS'!$C$6:$C$1005,"PROJETADO",'LANÇAMENTOS'!$D$6:$D$1005,$F29))</f>
        <v/>
      </c>
      <c r="I29" s="43">
        <f>IF($F29="","",SUMIFS('LANÇAMENTOS'!$G$6:$G$1005,'LANÇAMENTOS'!$I$6:$I$1005,$C$4,'LANÇAMENTOS'!$B$6:$B$1005,"SAÍDA",'LANÇAMENTOS'!$D$6:$D$1005,$F29))</f>
        <v/>
      </c>
    </row>
    <row r="30">
      <c r="A30" s="18">
        <f>IF(LISTAS!$B20="ENTRADA",LISTAS!$A20,"")</f>
        <v/>
      </c>
      <c r="B30" s="31">
        <f>IF($A30="","",SUMIFS('LANÇAMENTOS'!$G$6:$G$1005,'LANÇAMENTOS'!$I$6:$I$1005,$C$4,'LANÇAMENTOS'!$B$6:$B$1005,"ENTRADA",'LANÇAMENTOS'!$C$6:$C$1005,"REALIZADO",'LANÇAMENTOS'!$D$6:$D$1005,$A30))</f>
        <v/>
      </c>
      <c r="C30" s="31">
        <f>IF($A30="","",SUMIFS('LANÇAMENTOS'!$G$6:$G$1005,'LANÇAMENTOS'!$I$6:$I$1005,$C$4,'LANÇAMENTOS'!$B$6:$B$1005,"ENTRADA",'LANÇAMENTOS'!$C$6:$C$1005,"PROJETADO",'LANÇAMENTOS'!$D$6:$D$1005,$A30))</f>
        <v/>
      </c>
      <c r="D30" s="43">
        <f>IF($A30="","",SUMIFS('LANÇAMENTOS'!$G$6:$G$1005,'LANÇAMENTOS'!$I$6:$I$1005,$C$4,'LANÇAMENTOS'!$B$6:$B$1005,"ENTRADA",'LANÇAMENTOS'!$D$6:$D$1005,$A30))</f>
        <v/>
      </c>
      <c r="F30" s="18">
        <f>IF(LISTAS!$B20="SAÍDA",LISTAS!$A20,"")</f>
        <v/>
      </c>
      <c r="G30" s="31">
        <f>IF($F30="","",SUMIFS('LANÇAMENTOS'!$G$6:$G$1005,'LANÇAMENTOS'!$I$6:$I$1005,$C$4,'LANÇAMENTOS'!$B$6:$B$1005,"SAÍDA",'LANÇAMENTOS'!$C$6:$C$1005,"REALIZADO",'LANÇAMENTOS'!$D$6:$D$1005,$F30))</f>
        <v/>
      </c>
      <c r="H30" s="31">
        <f>IF($F30="","",SUMIFS('LANÇAMENTOS'!$G$6:$G$1005,'LANÇAMENTOS'!$I$6:$I$1005,$C$4,'LANÇAMENTOS'!$B$6:$B$1005,"SAÍDA",'LANÇAMENTOS'!$C$6:$C$1005,"PROJETADO",'LANÇAMENTOS'!$D$6:$D$1005,$F30))</f>
        <v/>
      </c>
      <c r="I30" s="43">
        <f>IF($F30="","",SUMIFS('LANÇAMENTOS'!$G$6:$G$1005,'LANÇAMENTOS'!$I$6:$I$1005,$C$4,'LANÇAMENTOS'!$B$6:$B$1005,"SAÍDA",'LANÇAMENTOS'!$D$6:$D$1005,$F30))</f>
        <v/>
      </c>
    </row>
    <row r="31">
      <c r="A31" s="18">
        <f>IF(LISTAS!$B21="ENTRADA",LISTAS!$A21,"")</f>
        <v/>
      </c>
      <c r="B31" s="31">
        <f>IF($A31="","",SUMIFS('LANÇAMENTOS'!$G$6:$G$1005,'LANÇAMENTOS'!$I$6:$I$1005,$C$4,'LANÇAMENTOS'!$B$6:$B$1005,"ENTRADA",'LANÇAMENTOS'!$C$6:$C$1005,"REALIZADO",'LANÇAMENTOS'!$D$6:$D$1005,$A31))</f>
        <v/>
      </c>
      <c r="C31" s="31">
        <f>IF($A31="","",SUMIFS('LANÇAMENTOS'!$G$6:$G$1005,'LANÇAMENTOS'!$I$6:$I$1005,$C$4,'LANÇAMENTOS'!$B$6:$B$1005,"ENTRADA",'LANÇAMENTOS'!$C$6:$C$1005,"PROJETADO",'LANÇAMENTOS'!$D$6:$D$1005,$A31))</f>
        <v/>
      </c>
      <c r="D31" s="43">
        <f>IF($A31="","",SUMIFS('LANÇAMENTOS'!$G$6:$G$1005,'LANÇAMENTOS'!$I$6:$I$1005,$C$4,'LANÇAMENTOS'!$B$6:$B$1005,"ENTRADA",'LANÇAMENTOS'!$D$6:$D$1005,$A31))</f>
        <v/>
      </c>
      <c r="F31" s="18">
        <f>IF(LISTAS!$B21="SAÍDA",LISTAS!$A21,"")</f>
        <v/>
      </c>
      <c r="G31" s="31">
        <f>IF($F31="","",SUMIFS('LANÇAMENTOS'!$G$6:$G$1005,'LANÇAMENTOS'!$I$6:$I$1005,$C$4,'LANÇAMENTOS'!$B$6:$B$1005,"SAÍDA",'LANÇAMENTOS'!$C$6:$C$1005,"REALIZADO",'LANÇAMENTOS'!$D$6:$D$1005,$F31))</f>
        <v/>
      </c>
      <c r="H31" s="31">
        <f>IF($F31="","",SUMIFS('LANÇAMENTOS'!$G$6:$G$1005,'LANÇAMENTOS'!$I$6:$I$1005,$C$4,'LANÇAMENTOS'!$B$6:$B$1005,"SAÍDA",'LANÇAMENTOS'!$C$6:$C$1005,"PROJETADO",'LANÇAMENTOS'!$D$6:$D$1005,$F31))</f>
        <v/>
      </c>
      <c r="I31" s="43">
        <f>IF($F31="","",SUMIFS('LANÇAMENTOS'!$G$6:$G$1005,'LANÇAMENTOS'!$I$6:$I$1005,$C$4,'LANÇAMENTOS'!$B$6:$B$1005,"SAÍDA",'LANÇAMENTOS'!$D$6:$D$1005,$F31))</f>
        <v/>
      </c>
    </row>
    <row r="32">
      <c r="A32" s="18">
        <f>IF(LISTAS!$B22="ENTRADA",LISTAS!$A22,"")</f>
        <v/>
      </c>
      <c r="B32" s="31">
        <f>IF($A32="","",SUMIFS('LANÇAMENTOS'!$G$6:$G$1005,'LANÇAMENTOS'!$I$6:$I$1005,$C$4,'LANÇAMENTOS'!$B$6:$B$1005,"ENTRADA",'LANÇAMENTOS'!$C$6:$C$1005,"REALIZADO",'LANÇAMENTOS'!$D$6:$D$1005,$A32))</f>
        <v/>
      </c>
      <c r="C32" s="31">
        <f>IF($A32="","",SUMIFS('LANÇAMENTOS'!$G$6:$G$1005,'LANÇAMENTOS'!$I$6:$I$1005,$C$4,'LANÇAMENTOS'!$B$6:$B$1005,"ENTRADA",'LANÇAMENTOS'!$C$6:$C$1005,"PROJETADO",'LANÇAMENTOS'!$D$6:$D$1005,$A32))</f>
        <v/>
      </c>
      <c r="D32" s="43">
        <f>IF($A32="","",SUMIFS('LANÇAMENTOS'!$G$6:$G$1005,'LANÇAMENTOS'!$I$6:$I$1005,$C$4,'LANÇAMENTOS'!$B$6:$B$1005,"ENTRADA",'LANÇAMENTOS'!$D$6:$D$1005,$A32))</f>
        <v/>
      </c>
      <c r="F32" s="18">
        <f>IF(LISTAS!$B22="SAÍDA",LISTAS!$A22,"")</f>
        <v/>
      </c>
      <c r="G32" s="31">
        <f>IF($F32="","",SUMIFS('LANÇAMENTOS'!$G$6:$G$1005,'LANÇAMENTOS'!$I$6:$I$1005,$C$4,'LANÇAMENTOS'!$B$6:$B$1005,"SAÍDA",'LANÇAMENTOS'!$C$6:$C$1005,"REALIZADO",'LANÇAMENTOS'!$D$6:$D$1005,$F32))</f>
        <v/>
      </c>
      <c r="H32" s="31">
        <f>IF($F32="","",SUMIFS('LANÇAMENTOS'!$G$6:$G$1005,'LANÇAMENTOS'!$I$6:$I$1005,$C$4,'LANÇAMENTOS'!$B$6:$B$1005,"SAÍDA",'LANÇAMENTOS'!$C$6:$C$1005,"PROJETADO",'LANÇAMENTOS'!$D$6:$D$1005,$F32))</f>
        <v/>
      </c>
      <c r="I32" s="43">
        <f>IF($F32="","",SUMIFS('LANÇAMENTOS'!$G$6:$G$1005,'LANÇAMENTOS'!$I$6:$I$1005,$C$4,'LANÇAMENTOS'!$B$6:$B$1005,"SAÍDA",'LANÇAMENTOS'!$D$6:$D$1005,$F32))</f>
        <v/>
      </c>
    </row>
    <row r="33">
      <c r="A33" s="18">
        <f>IF(LISTAS!$B23="ENTRADA",LISTAS!$A23,"")</f>
        <v/>
      </c>
      <c r="B33" s="31">
        <f>IF($A33="","",SUMIFS('LANÇAMENTOS'!$G$6:$G$1005,'LANÇAMENTOS'!$I$6:$I$1005,$C$4,'LANÇAMENTOS'!$B$6:$B$1005,"ENTRADA",'LANÇAMENTOS'!$C$6:$C$1005,"REALIZADO",'LANÇAMENTOS'!$D$6:$D$1005,$A33))</f>
        <v/>
      </c>
      <c r="C33" s="31">
        <f>IF($A33="","",SUMIFS('LANÇAMENTOS'!$G$6:$G$1005,'LANÇAMENTOS'!$I$6:$I$1005,$C$4,'LANÇAMENTOS'!$B$6:$B$1005,"ENTRADA",'LANÇAMENTOS'!$C$6:$C$1005,"PROJETADO",'LANÇAMENTOS'!$D$6:$D$1005,$A33))</f>
        <v/>
      </c>
      <c r="D33" s="43">
        <f>IF($A33="","",SUMIFS('LANÇAMENTOS'!$G$6:$G$1005,'LANÇAMENTOS'!$I$6:$I$1005,$C$4,'LANÇAMENTOS'!$B$6:$B$1005,"ENTRADA",'LANÇAMENTOS'!$D$6:$D$1005,$A33))</f>
        <v/>
      </c>
      <c r="F33" s="18">
        <f>IF(LISTAS!$B23="SAÍDA",LISTAS!$A23,"")</f>
        <v/>
      </c>
      <c r="G33" s="31">
        <f>IF($F33="","",SUMIFS('LANÇAMENTOS'!$G$6:$G$1005,'LANÇAMENTOS'!$I$6:$I$1005,$C$4,'LANÇAMENTOS'!$B$6:$B$1005,"SAÍDA",'LANÇAMENTOS'!$C$6:$C$1005,"REALIZADO",'LANÇAMENTOS'!$D$6:$D$1005,$F33))</f>
        <v/>
      </c>
      <c r="H33" s="31">
        <f>IF($F33="","",SUMIFS('LANÇAMENTOS'!$G$6:$G$1005,'LANÇAMENTOS'!$I$6:$I$1005,$C$4,'LANÇAMENTOS'!$B$6:$B$1005,"SAÍDA",'LANÇAMENTOS'!$C$6:$C$1005,"PROJETADO",'LANÇAMENTOS'!$D$6:$D$1005,$F33))</f>
        <v/>
      </c>
      <c r="I33" s="43">
        <f>IF($F33="","",SUMIFS('LANÇAMENTOS'!$G$6:$G$1005,'LANÇAMENTOS'!$I$6:$I$1005,$C$4,'LANÇAMENTOS'!$B$6:$B$1005,"SAÍDA",'LANÇAMENTOS'!$D$6:$D$1005,$F33))</f>
        <v/>
      </c>
    </row>
    <row r="34">
      <c r="A34" s="18">
        <f>IF(LISTAS!$B24="ENTRADA",LISTAS!$A24,"")</f>
        <v/>
      </c>
      <c r="B34" s="31">
        <f>IF($A34="","",SUMIFS('LANÇAMENTOS'!$G$6:$G$1005,'LANÇAMENTOS'!$I$6:$I$1005,$C$4,'LANÇAMENTOS'!$B$6:$B$1005,"ENTRADA",'LANÇAMENTOS'!$C$6:$C$1005,"REALIZADO",'LANÇAMENTOS'!$D$6:$D$1005,$A34))</f>
        <v/>
      </c>
      <c r="C34" s="31">
        <f>IF($A34="","",SUMIFS('LANÇAMENTOS'!$G$6:$G$1005,'LANÇAMENTOS'!$I$6:$I$1005,$C$4,'LANÇAMENTOS'!$B$6:$B$1005,"ENTRADA",'LANÇAMENTOS'!$C$6:$C$1005,"PROJETADO",'LANÇAMENTOS'!$D$6:$D$1005,$A34))</f>
        <v/>
      </c>
      <c r="D34" s="43">
        <f>IF($A34="","",SUMIFS('LANÇAMENTOS'!$G$6:$G$1005,'LANÇAMENTOS'!$I$6:$I$1005,$C$4,'LANÇAMENTOS'!$B$6:$B$1005,"ENTRADA",'LANÇAMENTOS'!$D$6:$D$1005,$A34))</f>
        <v/>
      </c>
      <c r="F34" s="18">
        <f>IF(LISTAS!$B24="SAÍDA",LISTAS!$A24,"")</f>
        <v/>
      </c>
      <c r="G34" s="31">
        <f>IF($F34="","",SUMIFS('LANÇAMENTOS'!$G$6:$G$1005,'LANÇAMENTOS'!$I$6:$I$1005,$C$4,'LANÇAMENTOS'!$B$6:$B$1005,"SAÍDA",'LANÇAMENTOS'!$C$6:$C$1005,"REALIZADO",'LANÇAMENTOS'!$D$6:$D$1005,$F34))</f>
        <v/>
      </c>
      <c r="H34" s="31">
        <f>IF($F34="","",SUMIFS('LANÇAMENTOS'!$G$6:$G$1005,'LANÇAMENTOS'!$I$6:$I$1005,$C$4,'LANÇAMENTOS'!$B$6:$B$1005,"SAÍDA",'LANÇAMENTOS'!$C$6:$C$1005,"PROJETADO",'LANÇAMENTOS'!$D$6:$D$1005,$F34))</f>
        <v/>
      </c>
      <c r="I34" s="43">
        <f>IF($F34="","",SUMIFS('LANÇAMENTOS'!$G$6:$G$1005,'LANÇAMENTOS'!$I$6:$I$1005,$C$4,'LANÇAMENTOS'!$B$6:$B$1005,"SAÍDA",'LANÇAMENTOS'!$D$6:$D$1005,$F34))</f>
        <v/>
      </c>
    </row>
    <row r="35">
      <c r="A35" s="18">
        <f>IF(LISTAS!$B25="ENTRADA",LISTAS!$A25,"")</f>
        <v/>
      </c>
      <c r="B35" s="31">
        <f>IF($A35="","",SUMIFS('LANÇAMENTOS'!$G$6:$G$1005,'LANÇAMENTOS'!$I$6:$I$1005,$C$4,'LANÇAMENTOS'!$B$6:$B$1005,"ENTRADA",'LANÇAMENTOS'!$C$6:$C$1005,"REALIZADO",'LANÇAMENTOS'!$D$6:$D$1005,$A35))</f>
        <v/>
      </c>
      <c r="C35" s="31">
        <f>IF($A35="","",SUMIFS('LANÇAMENTOS'!$G$6:$G$1005,'LANÇAMENTOS'!$I$6:$I$1005,$C$4,'LANÇAMENTOS'!$B$6:$B$1005,"ENTRADA",'LANÇAMENTOS'!$C$6:$C$1005,"PROJETADO",'LANÇAMENTOS'!$D$6:$D$1005,$A35))</f>
        <v/>
      </c>
      <c r="D35" s="43">
        <f>IF($A35="","",SUMIFS('LANÇAMENTOS'!$G$6:$G$1005,'LANÇAMENTOS'!$I$6:$I$1005,$C$4,'LANÇAMENTOS'!$B$6:$B$1005,"ENTRADA",'LANÇAMENTOS'!$D$6:$D$1005,$A35))</f>
        <v/>
      </c>
      <c r="F35" s="18">
        <f>IF(LISTAS!$B25="SAÍDA",LISTAS!$A25,"")</f>
        <v/>
      </c>
      <c r="G35" s="31">
        <f>IF($F35="","",SUMIFS('LANÇAMENTOS'!$G$6:$G$1005,'LANÇAMENTOS'!$I$6:$I$1005,$C$4,'LANÇAMENTOS'!$B$6:$B$1005,"SAÍDA",'LANÇAMENTOS'!$C$6:$C$1005,"REALIZADO",'LANÇAMENTOS'!$D$6:$D$1005,$F35))</f>
        <v/>
      </c>
      <c r="H35" s="31">
        <f>IF($F35="","",SUMIFS('LANÇAMENTOS'!$G$6:$G$1005,'LANÇAMENTOS'!$I$6:$I$1005,$C$4,'LANÇAMENTOS'!$B$6:$B$1005,"SAÍDA",'LANÇAMENTOS'!$C$6:$C$1005,"PROJETADO",'LANÇAMENTOS'!$D$6:$D$1005,$F35))</f>
        <v/>
      </c>
      <c r="I35" s="43">
        <f>IF($F35="","",SUMIFS('LANÇAMENTOS'!$G$6:$G$1005,'LANÇAMENTOS'!$I$6:$I$1005,$C$4,'LANÇAMENTOS'!$B$6:$B$1005,"SAÍDA",'LANÇAMENTOS'!$D$6:$D$1005,$F35))</f>
        <v/>
      </c>
    </row>
    <row r="36">
      <c r="A36" s="18">
        <f>IF(LISTAS!$B26="ENTRADA",LISTAS!$A26,"")</f>
        <v/>
      </c>
      <c r="B36" s="31">
        <f>IF($A36="","",SUMIFS('LANÇAMENTOS'!$G$6:$G$1005,'LANÇAMENTOS'!$I$6:$I$1005,$C$4,'LANÇAMENTOS'!$B$6:$B$1005,"ENTRADA",'LANÇAMENTOS'!$C$6:$C$1005,"REALIZADO",'LANÇAMENTOS'!$D$6:$D$1005,$A36))</f>
        <v/>
      </c>
      <c r="C36" s="31">
        <f>IF($A36="","",SUMIFS('LANÇAMENTOS'!$G$6:$G$1005,'LANÇAMENTOS'!$I$6:$I$1005,$C$4,'LANÇAMENTOS'!$B$6:$B$1005,"ENTRADA",'LANÇAMENTOS'!$C$6:$C$1005,"PROJETADO",'LANÇAMENTOS'!$D$6:$D$1005,$A36))</f>
        <v/>
      </c>
      <c r="D36" s="43">
        <f>IF($A36="","",SUMIFS('LANÇAMENTOS'!$G$6:$G$1005,'LANÇAMENTOS'!$I$6:$I$1005,$C$4,'LANÇAMENTOS'!$B$6:$B$1005,"ENTRADA",'LANÇAMENTOS'!$D$6:$D$1005,$A36))</f>
        <v/>
      </c>
      <c r="F36" s="18">
        <f>IF(LISTAS!$B26="SAÍDA",LISTAS!$A26,"")</f>
        <v/>
      </c>
      <c r="G36" s="31">
        <f>IF($F36="","",SUMIFS('LANÇAMENTOS'!$G$6:$G$1005,'LANÇAMENTOS'!$I$6:$I$1005,$C$4,'LANÇAMENTOS'!$B$6:$B$1005,"SAÍDA",'LANÇAMENTOS'!$C$6:$C$1005,"REALIZADO",'LANÇAMENTOS'!$D$6:$D$1005,$F36))</f>
        <v/>
      </c>
      <c r="H36" s="31">
        <f>IF($F36="","",SUMIFS('LANÇAMENTOS'!$G$6:$G$1005,'LANÇAMENTOS'!$I$6:$I$1005,$C$4,'LANÇAMENTOS'!$B$6:$B$1005,"SAÍDA",'LANÇAMENTOS'!$C$6:$C$1005,"PROJETADO",'LANÇAMENTOS'!$D$6:$D$1005,$F36))</f>
        <v/>
      </c>
      <c r="I36" s="43">
        <f>IF($F36="","",SUMIFS('LANÇAMENTOS'!$G$6:$G$1005,'LANÇAMENTOS'!$I$6:$I$1005,$C$4,'LANÇAMENTOS'!$B$6:$B$1005,"SAÍDA",'LANÇAMENTOS'!$D$6:$D$1005,$F36))</f>
        <v/>
      </c>
    </row>
    <row r="37">
      <c r="A37" s="18">
        <f>IF(LISTAS!$B27="ENTRADA",LISTAS!$A27,"")</f>
        <v/>
      </c>
      <c r="B37" s="31">
        <f>IF($A37="","",SUMIFS('LANÇAMENTOS'!$G$6:$G$1005,'LANÇAMENTOS'!$I$6:$I$1005,$C$4,'LANÇAMENTOS'!$B$6:$B$1005,"ENTRADA",'LANÇAMENTOS'!$C$6:$C$1005,"REALIZADO",'LANÇAMENTOS'!$D$6:$D$1005,$A37))</f>
        <v/>
      </c>
      <c r="C37" s="31">
        <f>IF($A37="","",SUMIFS('LANÇAMENTOS'!$G$6:$G$1005,'LANÇAMENTOS'!$I$6:$I$1005,$C$4,'LANÇAMENTOS'!$B$6:$B$1005,"ENTRADA",'LANÇAMENTOS'!$C$6:$C$1005,"PROJETADO",'LANÇAMENTOS'!$D$6:$D$1005,$A37))</f>
        <v/>
      </c>
      <c r="D37" s="43">
        <f>IF($A37="","",SUMIFS('LANÇAMENTOS'!$G$6:$G$1005,'LANÇAMENTOS'!$I$6:$I$1005,$C$4,'LANÇAMENTOS'!$B$6:$B$1005,"ENTRADA",'LANÇAMENTOS'!$D$6:$D$1005,$A37))</f>
        <v/>
      </c>
      <c r="F37" s="18">
        <f>IF(LISTAS!$B27="SAÍDA",LISTAS!$A27,"")</f>
        <v/>
      </c>
      <c r="G37" s="31">
        <f>IF($F37="","",SUMIFS('LANÇAMENTOS'!$G$6:$G$1005,'LANÇAMENTOS'!$I$6:$I$1005,$C$4,'LANÇAMENTOS'!$B$6:$B$1005,"SAÍDA",'LANÇAMENTOS'!$C$6:$C$1005,"REALIZADO",'LANÇAMENTOS'!$D$6:$D$1005,$F37))</f>
        <v/>
      </c>
      <c r="H37" s="31">
        <f>IF($F37="","",SUMIFS('LANÇAMENTOS'!$G$6:$G$1005,'LANÇAMENTOS'!$I$6:$I$1005,$C$4,'LANÇAMENTOS'!$B$6:$B$1005,"SAÍDA",'LANÇAMENTOS'!$C$6:$C$1005,"PROJETADO",'LANÇAMENTOS'!$D$6:$D$1005,$F37))</f>
        <v/>
      </c>
      <c r="I37" s="43">
        <f>IF($F37="","",SUMIFS('LANÇAMENTOS'!$G$6:$G$1005,'LANÇAMENTOS'!$I$6:$I$1005,$C$4,'LANÇAMENTOS'!$B$6:$B$1005,"SAÍDA",'LANÇAMENTOS'!$D$6:$D$1005,$F37))</f>
        <v/>
      </c>
    </row>
    <row r="38">
      <c r="A38" s="18">
        <f>IF(LISTAS!$B28="ENTRADA",LISTAS!$A28,"")</f>
        <v/>
      </c>
      <c r="B38" s="31">
        <f>IF($A38="","",SUMIFS('LANÇAMENTOS'!$G$6:$G$1005,'LANÇAMENTOS'!$I$6:$I$1005,$C$4,'LANÇAMENTOS'!$B$6:$B$1005,"ENTRADA",'LANÇAMENTOS'!$C$6:$C$1005,"REALIZADO",'LANÇAMENTOS'!$D$6:$D$1005,$A38))</f>
        <v/>
      </c>
      <c r="C38" s="31">
        <f>IF($A38="","",SUMIFS('LANÇAMENTOS'!$G$6:$G$1005,'LANÇAMENTOS'!$I$6:$I$1005,$C$4,'LANÇAMENTOS'!$B$6:$B$1005,"ENTRADA",'LANÇAMENTOS'!$C$6:$C$1005,"PROJETADO",'LANÇAMENTOS'!$D$6:$D$1005,$A38))</f>
        <v/>
      </c>
      <c r="D38" s="43">
        <f>IF($A38="","",SUMIFS('LANÇAMENTOS'!$G$6:$G$1005,'LANÇAMENTOS'!$I$6:$I$1005,$C$4,'LANÇAMENTOS'!$B$6:$B$1005,"ENTRADA",'LANÇAMENTOS'!$D$6:$D$1005,$A38))</f>
        <v/>
      </c>
      <c r="F38" s="18">
        <f>IF(LISTAS!$B28="SAÍDA",LISTAS!$A28,"")</f>
        <v/>
      </c>
      <c r="G38" s="31">
        <f>IF($F38="","",SUMIFS('LANÇAMENTOS'!$G$6:$G$1005,'LANÇAMENTOS'!$I$6:$I$1005,$C$4,'LANÇAMENTOS'!$B$6:$B$1005,"SAÍDA",'LANÇAMENTOS'!$C$6:$C$1005,"REALIZADO",'LANÇAMENTOS'!$D$6:$D$1005,$F38))</f>
        <v/>
      </c>
      <c r="H38" s="31">
        <f>IF($F38="","",SUMIFS('LANÇAMENTOS'!$G$6:$G$1005,'LANÇAMENTOS'!$I$6:$I$1005,$C$4,'LANÇAMENTOS'!$B$6:$B$1005,"SAÍDA",'LANÇAMENTOS'!$C$6:$C$1005,"PROJETADO",'LANÇAMENTOS'!$D$6:$D$1005,$F38))</f>
        <v/>
      </c>
      <c r="I38" s="43">
        <f>IF($F38="","",SUMIFS('LANÇAMENTOS'!$G$6:$G$1005,'LANÇAMENTOS'!$I$6:$I$1005,$C$4,'LANÇAMENTOS'!$B$6:$B$1005,"SAÍDA",'LANÇAMENTOS'!$D$6:$D$1005,$F38))</f>
        <v/>
      </c>
    </row>
    <row r="39">
      <c r="A39" s="18">
        <f>IF(LISTAS!$B29="ENTRADA",LISTAS!$A29,"")</f>
        <v/>
      </c>
      <c r="B39" s="31">
        <f>IF($A39="","",SUMIFS('LANÇAMENTOS'!$G$6:$G$1005,'LANÇAMENTOS'!$I$6:$I$1005,$C$4,'LANÇAMENTOS'!$B$6:$B$1005,"ENTRADA",'LANÇAMENTOS'!$C$6:$C$1005,"REALIZADO",'LANÇAMENTOS'!$D$6:$D$1005,$A39))</f>
        <v/>
      </c>
      <c r="C39" s="31">
        <f>IF($A39="","",SUMIFS('LANÇAMENTOS'!$G$6:$G$1005,'LANÇAMENTOS'!$I$6:$I$1005,$C$4,'LANÇAMENTOS'!$B$6:$B$1005,"ENTRADA",'LANÇAMENTOS'!$C$6:$C$1005,"PROJETADO",'LANÇAMENTOS'!$D$6:$D$1005,$A39))</f>
        <v/>
      </c>
      <c r="D39" s="43">
        <f>IF($A39="","",SUMIFS('LANÇAMENTOS'!$G$6:$G$1005,'LANÇAMENTOS'!$I$6:$I$1005,$C$4,'LANÇAMENTOS'!$B$6:$B$1005,"ENTRADA",'LANÇAMENTOS'!$D$6:$D$1005,$A39))</f>
        <v/>
      </c>
      <c r="F39" s="18">
        <f>IF(LISTAS!$B29="SAÍDA",LISTAS!$A29,"")</f>
        <v/>
      </c>
      <c r="G39" s="31">
        <f>IF($F39="","",SUMIFS('LANÇAMENTOS'!$G$6:$G$1005,'LANÇAMENTOS'!$I$6:$I$1005,$C$4,'LANÇAMENTOS'!$B$6:$B$1005,"SAÍDA",'LANÇAMENTOS'!$C$6:$C$1005,"REALIZADO",'LANÇAMENTOS'!$D$6:$D$1005,$F39))</f>
        <v/>
      </c>
      <c r="H39" s="31">
        <f>IF($F39="","",SUMIFS('LANÇAMENTOS'!$G$6:$G$1005,'LANÇAMENTOS'!$I$6:$I$1005,$C$4,'LANÇAMENTOS'!$B$6:$B$1005,"SAÍDA",'LANÇAMENTOS'!$C$6:$C$1005,"PROJETADO",'LANÇAMENTOS'!$D$6:$D$1005,$F39))</f>
        <v/>
      </c>
      <c r="I39" s="43">
        <f>IF($F39="","",SUMIFS('LANÇAMENTOS'!$G$6:$G$1005,'LANÇAMENTOS'!$I$6:$I$1005,$C$4,'LANÇAMENTOS'!$B$6:$B$1005,"SAÍDA",'LANÇAMENTOS'!$D$6:$D$1005,$F39))</f>
        <v/>
      </c>
    </row>
    <row r="40">
      <c r="A40" s="18">
        <f>IF(LISTAS!$B30="ENTRADA",LISTAS!$A30,"")</f>
        <v/>
      </c>
      <c r="B40" s="31">
        <f>IF($A40="","",SUMIFS('LANÇAMENTOS'!$G$6:$G$1005,'LANÇAMENTOS'!$I$6:$I$1005,$C$4,'LANÇAMENTOS'!$B$6:$B$1005,"ENTRADA",'LANÇAMENTOS'!$C$6:$C$1005,"REALIZADO",'LANÇAMENTOS'!$D$6:$D$1005,$A40))</f>
        <v/>
      </c>
      <c r="C40" s="31">
        <f>IF($A40="","",SUMIFS('LANÇAMENTOS'!$G$6:$G$1005,'LANÇAMENTOS'!$I$6:$I$1005,$C$4,'LANÇAMENTOS'!$B$6:$B$1005,"ENTRADA",'LANÇAMENTOS'!$C$6:$C$1005,"PROJETADO",'LANÇAMENTOS'!$D$6:$D$1005,$A40))</f>
        <v/>
      </c>
      <c r="D40" s="43">
        <f>IF($A40="","",SUMIFS('LANÇAMENTOS'!$G$6:$G$1005,'LANÇAMENTOS'!$I$6:$I$1005,$C$4,'LANÇAMENTOS'!$B$6:$B$1005,"ENTRADA",'LANÇAMENTOS'!$D$6:$D$1005,$A40))</f>
        <v/>
      </c>
      <c r="F40" s="18">
        <f>IF(LISTAS!$B30="SAÍDA",LISTAS!$A30,"")</f>
        <v/>
      </c>
      <c r="G40" s="31">
        <f>IF($F40="","",SUMIFS('LANÇAMENTOS'!$G$6:$G$1005,'LANÇAMENTOS'!$I$6:$I$1005,$C$4,'LANÇAMENTOS'!$B$6:$B$1005,"SAÍDA",'LANÇAMENTOS'!$C$6:$C$1005,"REALIZADO",'LANÇAMENTOS'!$D$6:$D$1005,$F40))</f>
        <v/>
      </c>
      <c r="H40" s="31">
        <f>IF($F40="","",SUMIFS('LANÇAMENTOS'!$G$6:$G$1005,'LANÇAMENTOS'!$I$6:$I$1005,$C$4,'LANÇAMENTOS'!$B$6:$B$1005,"SAÍDA",'LANÇAMENTOS'!$C$6:$C$1005,"PROJETADO",'LANÇAMENTOS'!$D$6:$D$1005,$F40))</f>
        <v/>
      </c>
      <c r="I40" s="43">
        <f>IF($F40="","",SUMIFS('LANÇAMENTOS'!$G$6:$G$1005,'LANÇAMENTOS'!$I$6:$I$1005,$C$4,'LANÇAMENTOS'!$B$6:$B$1005,"SAÍDA",'LANÇAMENTOS'!$D$6:$D$1005,$F40))</f>
        <v/>
      </c>
    </row>
    <row r="41">
      <c r="A41" s="18">
        <f>IF(LISTAS!$B31="ENTRADA",LISTAS!$A31,"")</f>
        <v/>
      </c>
      <c r="B41" s="31">
        <f>IF($A41="","",SUMIFS('LANÇAMENTOS'!$G$6:$G$1005,'LANÇAMENTOS'!$I$6:$I$1005,$C$4,'LANÇAMENTOS'!$B$6:$B$1005,"ENTRADA",'LANÇAMENTOS'!$C$6:$C$1005,"REALIZADO",'LANÇAMENTOS'!$D$6:$D$1005,$A41))</f>
        <v/>
      </c>
      <c r="C41" s="31">
        <f>IF($A41="","",SUMIFS('LANÇAMENTOS'!$G$6:$G$1005,'LANÇAMENTOS'!$I$6:$I$1005,$C$4,'LANÇAMENTOS'!$B$6:$B$1005,"ENTRADA",'LANÇAMENTOS'!$C$6:$C$1005,"PROJETADO",'LANÇAMENTOS'!$D$6:$D$1005,$A41))</f>
        <v/>
      </c>
      <c r="D41" s="43">
        <f>IF($A41="","",SUMIFS('LANÇAMENTOS'!$G$6:$G$1005,'LANÇAMENTOS'!$I$6:$I$1005,$C$4,'LANÇAMENTOS'!$B$6:$B$1005,"ENTRADA",'LANÇAMENTOS'!$D$6:$D$1005,$A41))</f>
        <v/>
      </c>
      <c r="F41" s="18">
        <f>IF(LISTAS!$B31="SAÍDA",LISTAS!$A31,"")</f>
        <v/>
      </c>
      <c r="G41" s="31">
        <f>IF($F41="","",SUMIFS('LANÇAMENTOS'!$G$6:$G$1005,'LANÇAMENTOS'!$I$6:$I$1005,$C$4,'LANÇAMENTOS'!$B$6:$B$1005,"SAÍDA",'LANÇAMENTOS'!$C$6:$C$1005,"REALIZADO",'LANÇAMENTOS'!$D$6:$D$1005,$F41))</f>
        <v/>
      </c>
      <c r="H41" s="31">
        <f>IF($F41="","",SUMIFS('LANÇAMENTOS'!$G$6:$G$1005,'LANÇAMENTOS'!$I$6:$I$1005,$C$4,'LANÇAMENTOS'!$B$6:$B$1005,"SAÍDA",'LANÇAMENTOS'!$C$6:$C$1005,"PROJETADO",'LANÇAMENTOS'!$D$6:$D$1005,$F41))</f>
        <v/>
      </c>
      <c r="I41" s="43">
        <f>IF($F41="","",SUMIFS('LANÇAMENTOS'!$G$6:$G$1005,'LANÇAMENTOS'!$I$6:$I$1005,$C$4,'LANÇAMENTOS'!$B$6:$B$1005,"SAÍDA",'LANÇAMENTOS'!$D$6:$D$1005,$F41))</f>
        <v/>
      </c>
    </row>
    <row r="42">
      <c r="A42" s="18">
        <f>IF(LISTAS!$B32="ENTRADA",LISTAS!$A32,"")</f>
        <v/>
      </c>
      <c r="B42" s="31">
        <f>IF($A42="","",SUMIFS('LANÇAMENTOS'!$G$6:$G$1005,'LANÇAMENTOS'!$I$6:$I$1005,$C$4,'LANÇAMENTOS'!$B$6:$B$1005,"ENTRADA",'LANÇAMENTOS'!$C$6:$C$1005,"REALIZADO",'LANÇAMENTOS'!$D$6:$D$1005,$A42))</f>
        <v/>
      </c>
      <c r="C42" s="31">
        <f>IF($A42="","",SUMIFS('LANÇAMENTOS'!$G$6:$G$1005,'LANÇAMENTOS'!$I$6:$I$1005,$C$4,'LANÇAMENTOS'!$B$6:$B$1005,"ENTRADA",'LANÇAMENTOS'!$C$6:$C$1005,"PROJETADO",'LANÇAMENTOS'!$D$6:$D$1005,$A42))</f>
        <v/>
      </c>
      <c r="D42" s="43">
        <f>IF($A42="","",SUMIFS('LANÇAMENTOS'!$G$6:$G$1005,'LANÇAMENTOS'!$I$6:$I$1005,$C$4,'LANÇAMENTOS'!$B$6:$B$1005,"ENTRADA",'LANÇAMENTOS'!$D$6:$D$1005,$A42))</f>
        <v/>
      </c>
      <c r="F42" s="18">
        <f>IF(LISTAS!$B32="SAÍDA",LISTAS!$A32,"")</f>
        <v/>
      </c>
      <c r="G42" s="31">
        <f>IF($F42="","",SUMIFS('LANÇAMENTOS'!$G$6:$G$1005,'LANÇAMENTOS'!$I$6:$I$1005,$C$4,'LANÇAMENTOS'!$B$6:$B$1005,"SAÍDA",'LANÇAMENTOS'!$C$6:$C$1005,"REALIZADO",'LANÇAMENTOS'!$D$6:$D$1005,$F42))</f>
        <v/>
      </c>
      <c r="H42" s="31">
        <f>IF($F42="","",SUMIFS('LANÇAMENTOS'!$G$6:$G$1005,'LANÇAMENTOS'!$I$6:$I$1005,$C$4,'LANÇAMENTOS'!$B$6:$B$1005,"SAÍDA",'LANÇAMENTOS'!$C$6:$C$1005,"PROJETADO",'LANÇAMENTOS'!$D$6:$D$1005,$F42))</f>
        <v/>
      </c>
      <c r="I42" s="43">
        <f>IF($F42="","",SUMIFS('LANÇAMENTOS'!$G$6:$G$1005,'LANÇAMENTOS'!$I$6:$I$1005,$C$4,'LANÇAMENTOS'!$B$6:$B$1005,"SAÍDA",'LANÇAMENTOS'!$D$6:$D$1005,$F42))</f>
        <v/>
      </c>
    </row>
    <row r="43">
      <c r="A43" s="18">
        <f>IF(LISTAS!$B33="ENTRADA",LISTAS!$A33,"")</f>
        <v/>
      </c>
      <c r="B43" s="31">
        <f>IF($A43="","",SUMIFS('LANÇAMENTOS'!$G$6:$G$1005,'LANÇAMENTOS'!$I$6:$I$1005,$C$4,'LANÇAMENTOS'!$B$6:$B$1005,"ENTRADA",'LANÇAMENTOS'!$C$6:$C$1005,"REALIZADO",'LANÇAMENTOS'!$D$6:$D$1005,$A43))</f>
        <v/>
      </c>
      <c r="C43" s="31">
        <f>IF($A43="","",SUMIFS('LANÇAMENTOS'!$G$6:$G$1005,'LANÇAMENTOS'!$I$6:$I$1005,$C$4,'LANÇAMENTOS'!$B$6:$B$1005,"ENTRADA",'LANÇAMENTOS'!$C$6:$C$1005,"PROJETADO",'LANÇAMENTOS'!$D$6:$D$1005,$A43))</f>
        <v/>
      </c>
      <c r="D43" s="43">
        <f>IF($A43="","",SUMIFS('LANÇAMENTOS'!$G$6:$G$1005,'LANÇAMENTOS'!$I$6:$I$1005,$C$4,'LANÇAMENTOS'!$B$6:$B$1005,"ENTRADA",'LANÇAMENTOS'!$D$6:$D$1005,$A43))</f>
        <v/>
      </c>
      <c r="F43" s="18">
        <f>IF(LISTAS!$B33="SAÍDA",LISTAS!$A33,"")</f>
        <v/>
      </c>
      <c r="G43" s="31">
        <f>IF($F43="","",SUMIFS('LANÇAMENTOS'!$G$6:$G$1005,'LANÇAMENTOS'!$I$6:$I$1005,$C$4,'LANÇAMENTOS'!$B$6:$B$1005,"SAÍDA",'LANÇAMENTOS'!$C$6:$C$1005,"REALIZADO",'LANÇAMENTOS'!$D$6:$D$1005,$F43))</f>
        <v/>
      </c>
      <c r="H43" s="31">
        <f>IF($F43="","",SUMIFS('LANÇAMENTOS'!$G$6:$G$1005,'LANÇAMENTOS'!$I$6:$I$1005,$C$4,'LANÇAMENTOS'!$B$6:$B$1005,"SAÍDA",'LANÇAMENTOS'!$C$6:$C$1005,"PROJETADO",'LANÇAMENTOS'!$D$6:$D$1005,$F43))</f>
        <v/>
      </c>
      <c r="I43" s="43">
        <f>IF($F43="","",SUMIFS('LANÇAMENTOS'!$G$6:$G$1005,'LANÇAMENTOS'!$I$6:$I$1005,$C$4,'LANÇAMENTOS'!$B$6:$B$1005,"SAÍDA",'LANÇAMENTOS'!$D$6:$D$1005,$F43))</f>
        <v/>
      </c>
    </row>
    <row r="44">
      <c r="A44" s="18">
        <f>IF(LISTAS!$B34="ENTRADA",LISTAS!$A34,"")</f>
        <v/>
      </c>
      <c r="B44" s="31">
        <f>IF($A44="","",SUMIFS('LANÇAMENTOS'!$G$6:$G$1005,'LANÇAMENTOS'!$I$6:$I$1005,$C$4,'LANÇAMENTOS'!$B$6:$B$1005,"ENTRADA",'LANÇAMENTOS'!$C$6:$C$1005,"REALIZADO",'LANÇAMENTOS'!$D$6:$D$1005,$A44))</f>
        <v/>
      </c>
      <c r="C44" s="31">
        <f>IF($A44="","",SUMIFS('LANÇAMENTOS'!$G$6:$G$1005,'LANÇAMENTOS'!$I$6:$I$1005,$C$4,'LANÇAMENTOS'!$B$6:$B$1005,"ENTRADA",'LANÇAMENTOS'!$C$6:$C$1005,"PROJETADO",'LANÇAMENTOS'!$D$6:$D$1005,$A44))</f>
        <v/>
      </c>
      <c r="D44" s="43">
        <f>IF($A44="","",SUMIFS('LANÇAMENTOS'!$G$6:$G$1005,'LANÇAMENTOS'!$I$6:$I$1005,$C$4,'LANÇAMENTOS'!$B$6:$B$1005,"ENTRADA",'LANÇAMENTOS'!$D$6:$D$1005,$A44))</f>
        <v/>
      </c>
      <c r="F44" s="18">
        <f>IF(LISTAS!$B34="SAÍDA",LISTAS!$A34,"")</f>
        <v/>
      </c>
      <c r="G44" s="31">
        <f>IF($F44="","",SUMIFS('LANÇAMENTOS'!$G$6:$G$1005,'LANÇAMENTOS'!$I$6:$I$1005,$C$4,'LANÇAMENTOS'!$B$6:$B$1005,"SAÍDA",'LANÇAMENTOS'!$C$6:$C$1005,"REALIZADO",'LANÇAMENTOS'!$D$6:$D$1005,$F44))</f>
        <v/>
      </c>
      <c r="H44" s="31">
        <f>IF($F44="","",SUMIFS('LANÇAMENTOS'!$G$6:$G$1005,'LANÇAMENTOS'!$I$6:$I$1005,$C$4,'LANÇAMENTOS'!$B$6:$B$1005,"SAÍDA",'LANÇAMENTOS'!$C$6:$C$1005,"PROJETADO",'LANÇAMENTOS'!$D$6:$D$1005,$F44))</f>
        <v/>
      </c>
      <c r="I44" s="43">
        <f>IF($F44="","",SUMIFS('LANÇAMENTOS'!$G$6:$G$1005,'LANÇAMENTOS'!$I$6:$I$1005,$C$4,'LANÇAMENTOS'!$B$6:$B$1005,"SAÍDA",'LANÇAMENTOS'!$D$6:$D$1005,$F44))</f>
        <v/>
      </c>
    </row>
    <row r="45">
      <c r="A45" s="18">
        <f>IF(LISTAS!$B35="ENTRADA",LISTAS!$A35,"")</f>
        <v/>
      </c>
      <c r="B45" s="31">
        <f>IF($A45="","",SUMIFS('LANÇAMENTOS'!$G$6:$G$1005,'LANÇAMENTOS'!$I$6:$I$1005,$C$4,'LANÇAMENTOS'!$B$6:$B$1005,"ENTRADA",'LANÇAMENTOS'!$C$6:$C$1005,"REALIZADO",'LANÇAMENTOS'!$D$6:$D$1005,$A45))</f>
        <v/>
      </c>
      <c r="C45" s="31">
        <f>IF($A45="","",SUMIFS('LANÇAMENTOS'!$G$6:$G$1005,'LANÇAMENTOS'!$I$6:$I$1005,$C$4,'LANÇAMENTOS'!$B$6:$B$1005,"ENTRADA",'LANÇAMENTOS'!$C$6:$C$1005,"PROJETADO",'LANÇAMENTOS'!$D$6:$D$1005,$A45))</f>
        <v/>
      </c>
      <c r="D45" s="43">
        <f>IF($A45="","",SUMIFS('LANÇAMENTOS'!$G$6:$G$1005,'LANÇAMENTOS'!$I$6:$I$1005,$C$4,'LANÇAMENTOS'!$B$6:$B$1005,"ENTRADA",'LANÇAMENTOS'!$D$6:$D$1005,$A45))</f>
        <v/>
      </c>
      <c r="F45" s="18">
        <f>IF(LISTAS!$B35="SAÍDA",LISTAS!$A35,"")</f>
        <v/>
      </c>
      <c r="G45" s="31">
        <f>IF($F45="","",SUMIFS('LANÇAMENTOS'!$G$6:$G$1005,'LANÇAMENTOS'!$I$6:$I$1005,$C$4,'LANÇAMENTOS'!$B$6:$B$1005,"SAÍDA",'LANÇAMENTOS'!$C$6:$C$1005,"REALIZADO",'LANÇAMENTOS'!$D$6:$D$1005,$F45))</f>
        <v/>
      </c>
      <c r="H45" s="31">
        <f>IF($F45="","",SUMIFS('LANÇAMENTOS'!$G$6:$G$1005,'LANÇAMENTOS'!$I$6:$I$1005,$C$4,'LANÇAMENTOS'!$B$6:$B$1005,"SAÍDA",'LANÇAMENTOS'!$C$6:$C$1005,"PROJETADO",'LANÇAMENTOS'!$D$6:$D$1005,$F45))</f>
        <v/>
      </c>
      <c r="I45" s="43">
        <f>IF($F45="","",SUMIFS('LANÇAMENTOS'!$G$6:$G$1005,'LANÇAMENTOS'!$I$6:$I$1005,$C$4,'LANÇAMENTOS'!$B$6:$B$1005,"SAÍDA",'LANÇAMENTOS'!$D$6:$D$1005,$F45))</f>
        <v/>
      </c>
    </row>
    <row r="46">
      <c r="A46" s="18">
        <f>IF(LISTAS!$B36="ENTRADA",LISTAS!$A36,"")</f>
        <v/>
      </c>
      <c r="B46" s="31">
        <f>IF($A46="","",SUMIFS('LANÇAMENTOS'!$G$6:$G$1005,'LANÇAMENTOS'!$I$6:$I$1005,$C$4,'LANÇAMENTOS'!$B$6:$B$1005,"ENTRADA",'LANÇAMENTOS'!$C$6:$C$1005,"REALIZADO",'LANÇAMENTOS'!$D$6:$D$1005,$A46))</f>
        <v/>
      </c>
      <c r="C46" s="31">
        <f>IF($A46="","",SUMIFS('LANÇAMENTOS'!$G$6:$G$1005,'LANÇAMENTOS'!$I$6:$I$1005,$C$4,'LANÇAMENTOS'!$B$6:$B$1005,"ENTRADA",'LANÇAMENTOS'!$C$6:$C$1005,"PROJETADO",'LANÇAMENTOS'!$D$6:$D$1005,$A46))</f>
        <v/>
      </c>
      <c r="D46" s="43">
        <f>IF($A46="","",SUMIFS('LANÇAMENTOS'!$G$6:$G$1005,'LANÇAMENTOS'!$I$6:$I$1005,$C$4,'LANÇAMENTOS'!$B$6:$B$1005,"ENTRADA",'LANÇAMENTOS'!$D$6:$D$1005,$A46))</f>
        <v/>
      </c>
      <c r="F46" s="18">
        <f>IF(LISTAS!$B36="SAÍDA",LISTAS!$A36,"")</f>
        <v/>
      </c>
      <c r="G46" s="31">
        <f>IF($F46="","",SUMIFS('LANÇAMENTOS'!$G$6:$G$1005,'LANÇAMENTOS'!$I$6:$I$1005,$C$4,'LANÇAMENTOS'!$B$6:$B$1005,"SAÍDA",'LANÇAMENTOS'!$C$6:$C$1005,"REALIZADO",'LANÇAMENTOS'!$D$6:$D$1005,$F46))</f>
        <v/>
      </c>
      <c r="H46" s="31">
        <f>IF($F46="","",SUMIFS('LANÇAMENTOS'!$G$6:$G$1005,'LANÇAMENTOS'!$I$6:$I$1005,$C$4,'LANÇAMENTOS'!$B$6:$B$1005,"SAÍDA",'LANÇAMENTOS'!$C$6:$C$1005,"PROJETADO",'LANÇAMENTOS'!$D$6:$D$1005,$F46))</f>
        <v/>
      </c>
      <c r="I46" s="43">
        <f>IF($F46="","",SUMIFS('LANÇAMENTOS'!$G$6:$G$1005,'LANÇAMENTOS'!$I$6:$I$1005,$C$4,'LANÇAMENTOS'!$B$6:$B$1005,"SAÍDA",'LANÇAMENTOS'!$D$6:$D$1005,$F46))</f>
        <v/>
      </c>
    </row>
    <row r="47">
      <c r="A47" s="18">
        <f>IF(LISTAS!$B37="ENTRADA",LISTAS!$A37,"")</f>
        <v/>
      </c>
      <c r="B47" s="31">
        <f>IF($A47="","",SUMIFS('LANÇAMENTOS'!$G$6:$G$1005,'LANÇAMENTOS'!$I$6:$I$1005,$C$4,'LANÇAMENTOS'!$B$6:$B$1005,"ENTRADA",'LANÇAMENTOS'!$C$6:$C$1005,"REALIZADO",'LANÇAMENTOS'!$D$6:$D$1005,$A47))</f>
        <v/>
      </c>
      <c r="C47" s="31">
        <f>IF($A47="","",SUMIFS('LANÇAMENTOS'!$G$6:$G$1005,'LANÇAMENTOS'!$I$6:$I$1005,$C$4,'LANÇAMENTOS'!$B$6:$B$1005,"ENTRADA",'LANÇAMENTOS'!$C$6:$C$1005,"PROJETADO",'LANÇAMENTOS'!$D$6:$D$1005,$A47))</f>
        <v/>
      </c>
      <c r="D47" s="43">
        <f>IF($A47="","",SUMIFS('LANÇAMENTOS'!$G$6:$G$1005,'LANÇAMENTOS'!$I$6:$I$1005,$C$4,'LANÇAMENTOS'!$B$6:$B$1005,"ENTRADA",'LANÇAMENTOS'!$D$6:$D$1005,$A47))</f>
        <v/>
      </c>
      <c r="F47" s="18">
        <f>IF(LISTAS!$B37="SAÍDA",LISTAS!$A37,"")</f>
        <v/>
      </c>
      <c r="G47" s="31">
        <f>IF($F47="","",SUMIFS('LANÇAMENTOS'!$G$6:$G$1005,'LANÇAMENTOS'!$I$6:$I$1005,$C$4,'LANÇAMENTOS'!$B$6:$B$1005,"SAÍDA",'LANÇAMENTOS'!$C$6:$C$1005,"REALIZADO",'LANÇAMENTOS'!$D$6:$D$1005,$F47))</f>
        <v/>
      </c>
      <c r="H47" s="31">
        <f>IF($F47="","",SUMIFS('LANÇAMENTOS'!$G$6:$G$1005,'LANÇAMENTOS'!$I$6:$I$1005,$C$4,'LANÇAMENTOS'!$B$6:$B$1005,"SAÍDA",'LANÇAMENTOS'!$C$6:$C$1005,"PROJETADO",'LANÇAMENTOS'!$D$6:$D$1005,$F47))</f>
        <v/>
      </c>
      <c r="I47" s="43">
        <f>IF($F47="","",SUMIFS('LANÇAMENTOS'!$G$6:$G$1005,'LANÇAMENTOS'!$I$6:$I$1005,$C$4,'LANÇAMENTOS'!$B$6:$B$1005,"SAÍDA",'LANÇAMENTOS'!$D$6:$D$1005,$F47))</f>
        <v/>
      </c>
    </row>
    <row r="48">
      <c r="A48" s="18">
        <f>IF(LISTAS!$B38="ENTRADA",LISTAS!$A38,"")</f>
        <v/>
      </c>
      <c r="B48" s="31">
        <f>IF($A48="","",SUMIFS('LANÇAMENTOS'!$G$6:$G$1005,'LANÇAMENTOS'!$I$6:$I$1005,$C$4,'LANÇAMENTOS'!$B$6:$B$1005,"ENTRADA",'LANÇAMENTOS'!$C$6:$C$1005,"REALIZADO",'LANÇAMENTOS'!$D$6:$D$1005,$A48))</f>
        <v/>
      </c>
      <c r="C48" s="31">
        <f>IF($A48="","",SUMIFS('LANÇAMENTOS'!$G$6:$G$1005,'LANÇAMENTOS'!$I$6:$I$1005,$C$4,'LANÇAMENTOS'!$B$6:$B$1005,"ENTRADA",'LANÇAMENTOS'!$C$6:$C$1005,"PROJETADO",'LANÇAMENTOS'!$D$6:$D$1005,$A48))</f>
        <v/>
      </c>
      <c r="D48" s="43">
        <f>IF($A48="","",SUMIFS('LANÇAMENTOS'!$G$6:$G$1005,'LANÇAMENTOS'!$I$6:$I$1005,$C$4,'LANÇAMENTOS'!$B$6:$B$1005,"ENTRADA",'LANÇAMENTOS'!$D$6:$D$1005,$A48))</f>
        <v/>
      </c>
      <c r="F48" s="18">
        <f>IF(LISTAS!$B38="SAÍDA",LISTAS!$A38,"")</f>
        <v/>
      </c>
      <c r="G48" s="31">
        <f>IF($F48="","",SUMIFS('LANÇAMENTOS'!$G$6:$G$1005,'LANÇAMENTOS'!$I$6:$I$1005,$C$4,'LANÇAMENTOS'!$B$6:$B$1005,"SAÍDA",'LANÇAMENTOS'!$C$6:$C$1005,"REALIZADO",'LANÇAMENTOS'!$D$6:$D$1005,$F48))</f>
        <v/>
      </c>
      <c r="H48" s="31">
        <f>IF($F48="","",SUMIFS('LANÇAMENTOS'!$G$6:$G$1005,'LANÇAMENTOS'!$I$6:$I$1005,$C$4,'LANÇAMENTOS'!$B$6:$B$1005,"SAÍDA",'LANÇAMENTOS'!$C$6:$C$1005,"PROJETADO",'LANÇAMENTOS'!$D$6:$D$1005,$F48))</f>
        <v/>
      </c>
      <c r="I48" s="43">
        <f>IF($F48="","",SUMIFS('LANÇAMENTOS'!$G$6:$G$1005,'LANÇAMENTOS'!$I$6:$I$1005,$C$4,'LANÇAMENTOS'!$B$6:$B$1005,"SAÍDA",'LANÇAMENTOS'!$D$6:$D$1005,$F48))</f>
        <v/>
      </c>
    </row>
    <row r="49">
      <c r="A49" s="18">
        <f>IF(LISTAS!$B39="ENTRADA",LISTAS!$A39,"")</f>
        <v/>
      </c>
      <c r="B49" s="31">
        <f>IF($A49="","",SUMIFS('LANÇAMENTOS'!$G$6:$G$1005,'LANÇAMENTOS'!$I$6:$I$1005,$C$4,'LANÇAMENTOS'!$B$6:$B$1005,"ENTRADA",'LANÇAMENTOS'!$C$6:$C$1005,"REALIZADO",'LANÇAMENTOS'!$D$6:$D$1005,$A49))</f>
        <v/>
      </c>
      <c r="C49" s="31">
        <f>IF($A49="","",SUMIFS('LANÇAMENTOS'!$G$6:$G$1005,'LANÇAMENTOS'!$I$6:$I$1005,$C$4,'LANÇAMENTOS'!$B$6:$B$1005,"ENTRADA",'LANÇAMENTOS'!$C$6:$C$1005,"PROJETADO",'LANÇAMENTOS'!$D$6:$D$1005,$A49))</f>
        <v/>
      </c>
      <c r="D49" s="43">
        <f>IF($A49="","",SUMIFS('LANÇAMENTOS'!$G$6:$G$1005,'LANÇAMENTOS'!$I$6:$I$1005,$C$4,'LANÇAMENTOS'!$B$6:$B$1005,"ENTRADA",'LANÇAMENTOS'!$D$6:$D$1005,$A49))</f>
        <v/>
      </c>
      <c r="F49" s="18">
        <f>IF(LISTAS!$B39="SAÍDA",LISTAS!$A39,"")</f>
        <v/>
      </c>
      <c r="G49" s="31">
        <f>IF($F49="","",SUMIFS('LANÇAMENTOS'!$G$6:$G$1005,'LANÇAMENTOS'!$I$6:$I$1005,$C$4,'LANÇAMENTOS'!$B$6:$B$1005,"SAÍDA",'LANÇAMENTOS'!$C$6:$C$1005,"REALIZADO",'LANÇAMENTOS'!$D$6:$D$1005,$F49))</f>
        <v/>
      </c>
      <c r="H49" s="31">
        <f>IF($F49="","",SUMIFS('LANÇAMENTOS'!$G$6:$G$1005,'LANÇAMENTOS'!$I$6:$I$1005,$C$4,'LANÇAMENTOS'!$B$6:$B$1005,"SAÍDA",'LANÇAMENTOS'!$C$6:$C$1005,"PROJETADO",'LANÇAMENTOS'!$D$6:$D$1005,$F49))</f>
        <v/>
      </c>
      <c r="I49" s="43">
        <f>IF($F49="","",SUMIFS('LANÇAMENTOS'!$G$6:$G$1005,'LANÇAMENTOS'!$I$6:$I$1005,$C$4,'LANÇAMENTOS'!$B$6:$B$1005,"SAÍDA",'LANÇAMENTOS'!$D$6:$D$1005,$F49))</f>
        <v/>
      </c>
    </row>
    <row r="50">
      <c r="A50" s="18">
        <f>IF(LISTAS!$B40="ENTRADA",LISTAS!$A40,"")</f>
        <v/>
      </c>
      <c r="B50" s="31">
        <f>IF($A50="","",SUMIFS('LANÇAMENTOS'!$G$6:$G$1005,'LANÇAMENTOS'!$I$6:$I$1005,$C$4,'LANÇAMENTOS'!$B$6:$B$1005,"ENTRADA",'LANÇAMENTOS'!$C$6:$C$1005,"REALIZADO",'LANÇAMENTOS'!$D$6:$D$1005,$A50))</f>
        <v/>
      </c>
      <c r="C50" s="31">
        <f>IF($A50="","",SUMIFS('LANÇAMENTOS'!$G$6:$G$1005,'LANÇAMENTOS'!$I$6:$I$1005,$C$4,'LANÇAMENTOS'!$B$6:$B$1005,"ENTRADA",'LANÇAMENTOS'!$C$6:$C$1005,"PROJETADO",'LANÇAMENTOS'!$D$6:$D$1005,$A50))</f>
        <v/>
      </c>
      <c r="D50" s="43">
        <f>IF($A50="","",SUMIFS('LANÇAMENTOS'!$G$6:$G$1005,'LANÇAMENTOS'!$I$6:$I$1005,$C$4,'LANÇAMENTOS'!$B$6:$B$1005,"ENTRADA",'LANÇAMENTOS'!$D$6:$D$1005,$A50))</f>
        <v/>
      </c>
      <c r="F50" s="18">
        <f>IF(LISTAS!$B40="SAÍDA",LISTAS!$A40,"")</f>
        <v/>
      </c>
      <c r="G50" s="31">
        <f>IF($F50="","",SUMIFS('LANÇAMENTOS'!$G$6:$G$1005,'LANÇAMENTOS'!$I$6:$I$1005,$C$4,'LANÇAMENTOS'!$B$6:$B$1005,"SAÍDA",'LANÇAMENTOS'!$C$6:$C$1005,"REALIZADO",'LANÇAMENTOS'!$D$6:$D$1005,$F50))</f>
        <v/>
      </c>
      <c r="H50" s="31">
        <f>IF($F50="","",SUMIFS('LANÇAMENTOS'!$G$6:$G$1005,'LANÇAMENTOS'!$I$6:$I$1005,$C$4,'LANÇAMENTOS'!$B$6:$B$1005,"SAÍDA",'LANÇAMENTOS'!$C$6:$C$1005,"PROJETADO",'LANÇAMENTOS'!$D$6:$D$1005,$F50))</f>
        <v/>
      </c>
      <c r="I50" s="43">
        <f>IF($F50="","",SUMIFS('LANÇAMENTOS'!$G$6:$G$1005,'LANÇAMENTOS'!$I$6:$I$1005,$C$4,'LANÇAMENTOS'!$B$6:$B$1005,"SAÍDA",'LANÇAMENTOS'!$D$6:$D$1005,$F50))</f>
        <v/>
      </c>
    </row>
    <row r="51">
      <c r="A51" s="18">
        <f>IF(LISTAS!$B41="ENTRADA",LISTAS!$A41,"")</f>
        <v/>
      </c>
      <c r="B51" s="31">
        <f>IF($A51="","",SUMIFS('LANÇAMENTOS'!$G$6:$G$1005,'LANÇAMENTOS'!$I$6:$I$1005,$C$4,'LANÇAMENTOS'!$B$6:$B$1005,"ENTRADA",'LANÇAMENTOS'!$C$6:$C$1005,"REALIZADO",'LANÇAMENTOS'!$D$6:$D$1005,$A51))</f>
        <v/>
      </c>
      <c r="C51" s="31">
        <f>IF($A51="","",SUMIFS('LANÇAMENTOS'!$G$6:$G$1005,'LANÇAMENTOS'!$I$6:$I$1005,$C$4,'LANÇAMENTOS'!$B$6:$B$1005,"ENTRADA",'LANÇAMENTOS'!$C$6:$C$1005,"PROJETADO",'LANÇAMENTOS'!$D$6:$D$1005,$A51))</f>
        <v/>
      </c>
      <c r="D51" s="43">
        <f>IF($A51="","",SUMIFS('LANÇAMENTOS'!$G$6:$G$1005,'LANÇAMENTOS'!$I$6:$I$1005,$C$4,'LANÇAMENTOS'!$B$6:$B$1005,"ENTRADA",'LANÇAMENTOS'!$D$6:$D$1005,$A51))</f>
        <v/>
      </c>
      <c r="F51" s="18">
        <f>IF(LISTAS!$B41="SAÍDA",LISTAS!$A41,"")</f>
        <v/>
      </c>
      <c r="G51" s="31">
        <f>IF($F51="","",SUMIFS('LANÇAMENTOS'!$G$6:$G$1005,'LANÇAMENTOS'!$I$6:$I$1005,$C$4,'LANÇAMENTOS'!$B$6:$B$1005,"SAÍDA",'LANÇAMENTOS'!$C$6:$C$1005,"REALIZADO",'LANÇAMENTOS'!$D$6:$D$1005,$F51))</f>
        <v/>
      </c>
      <c r="H51" s="31">
        <f>IF($F51="","",SUMIFS('LANÇAMENTOS'!$G$6:$G$1005,'LANÇAMENTOS'!$I$6:$I$1005,$C$4,'LANÇAMENTOS'!$B$6:$B$1005,"SAÍDA",'LANÇAMENTOS'!$C$6:$C$1005,"PROJETADO",'LANÇAMENTOS'!$D$6:$D$1005,$F51))</f>
        <v/>
      </c>
      <c r="I51" s="43">
        <f>IF($F51="","",SUMIFS('LANÇAMENTOS'!$G$6:$G$1005,'LANÇAMENTOS'!$I$6:$I$1005,$C$4,'LANÇAMENTOS'!$B$6:$B$1005,"SAÍDA",'LANÇAMENTOS'!$D$6:$D$1005,$F51))</f>
        <v/>
      </c>
    </row>
    <row r="52">
      <c r="A52" s="18">
        <f>IF(LISTAS!$B42="ENTRADA",LISTAS!$A42,"")</f>
        <v/>
      </c>
      <c r="B52" s="31">
        <f>IF($A52="","",SUMIFS('LANÇAMENTOS'!$G$6:$G$1005,'LANÇAMENTOS'!$I$6:$I$1005,$C$4,'LANÇAMENTOS'!$B$6:$B$1005,"ENTRADA",'LANÇAMENTOS'!$C$6:$C$1005,"REALIZADO",'LANÇAMENTOS'!$D$6:$D$1005,$A52))</f>
        <v/>
      </c>
      <c r="C52" s="31">
        <f>IF($A52="","",SUMIFS('LANÇAMENTOS'!$G$6:$G$1005,'LANÇAMENTOS'!$I$6:$I$1005,$C$4,'LANÇAMENTOS'!$B$6:$B$1005,"ENTRADA",'LANÇAMENTOS'!$C$6:$C$1005,"PROJETADO",'LANÇAMENTOS'!$D$6:$D$1005,$A52))</f>
        <v/>
      </c>
      <c r="D52" s="43">
        <f>IF($A52="","",SUMIFS('LANÇAMENTOS'!$G$6:$G$1005,'LANÇAMENTOS'!$I$6:$I$1005,$C$4,'LANÇAMENTOS'!$B$6:$B$1005,"ENTRADA",'LANÇAMENTOS'!$D$6:$D$1005,$A52))</f>
        <v/>
      </c>
      <c r="F52" s="18">
        <f>IF(LISTAS!$B42="SAÍDA",LISTAS!$A42,"")</f>
        <v/>
      </c>
      <c r="G52" s="31">
        <f>IF($F52="","",SUMIFS('LANÇAMENTOS'!$G$6:$G$1005,'LANÇAMENTOS'!$I$6:$I$1005,$C$4,'LANÇAMENTOS'!$B$6:$B$1005,"SAÍDA",'LANÇAMENTOS'!$C$6:$C$1005,"REALIZADO",'LANÇAMENTOS'!$D$6:$D$1005,$F52))</f>
        <v/>
      </c>
      <c r="H52" s="31">
        <f>IF($F52="","",SUMIFS('LANÇAMENTOS'!$G$6:$G$1005,'LANÇAMENTOS'!$I$6:$I$1005,$C$4,'LANÇAMENTOS'!$B$6:$B$1005,"SAÍDA",'LANÇAMENTOS'!$C$6:$C$1005,"PROJETADO",'LANÇAMENTOS'!$D$6:$D$1005,$F52))</f>
        <v/>
      </c>
      <c r="I52" s="43">
        <f>IF($F52="","",SUMIFS('LANÇAMENTOS'!$G$6:$G$1005,'LANÇAMENTOS'!$I$6:$I$1005,$C$4,'LANÇAMENTOS'!$B$6:$B$1005,"SAÍDA",'LANÇAMENTOS'!$D$6:$D$1005,$F52))</f>
        <v/>
      </c>
    </row>
    <row r="53">
      <c r="A53" s="18">
        <f>IF(LISTAS!$B43="ENTRADA",LISTAS!$A43,"")</f>
        <v/>
      </c>
      <c r="B53" s="31">
        <f>IF($A53="","",SUMIFS('LANÇAMENTOS'!$G$6:$G$1005,'LANÇAMENTOS'!$I$6:$I$1005,$C$4,'LANÇAMENTOS'!$B$6:$B$1005,"ENTRADA",'LANÇAMENTOS'!$C$6:$C$1005,"REALIZADO",'LANÇAMENTOS'!$D$6:$D$1005,$A53))</f>
        <v/>
      </c>
      <c r="C53" s="31">
        <f>IF($A53="","",SUMIFS('LANÇAMENTOS'!$G$6:$G$1005,'LANÇAMENTOS'!$I$6:$I$1005,$C$4,'LANÇAMENTOS'!$B$6:$B$1005,"ENTRADA",'LANÇAMENTOS'!$C$6:$C$1005,"PROJETADO",'LANÇAMENTOS'!$D$6:$D$1005,$A53))</f>
        <v/>
      </c>
      <c r="D53" s="43">
        <f>IF($A53="","",SUMIFS('LANÇAMENTOS'!$G$6:$G$1005,'LANÇAMENTOS'!$I$6:$I$1005,$C$4,'LANÇAMENTOS'!$B$6:$B$1005,"ENTRADA",'LANÇAMENTOS'!$D$6:$D$1005,$A53))</f>
        <v/>
      </c>
      <c r="F53" s="18">
        <f>IF(LISTAS!$B43="SAÍDA",LISTAS!$A43,"")</f>
        <v/>
      </c>
      <c r="G53" s="31">
        <f>IF($F53="","",SUMIFS('LANÇAMENTOS'!$G$6:$G$1005,'LANÇAMENTOS'!$I$6:$I$1005,$C$4,'LANÇAMENTOS'!$B$6:$B$1005,"SAÍDA",'LANÇAMENTOS'!$C$6:$C$1005,"REALIZADO",'LANÇAMENTOS'!$D$6:$D$1005,$F53))</f>
        <v/>
      </c>
      <c r="H53" s="31">
        <f>IF($F53="","",SUMIFS('LANÇAMENTOS'!$G$6:$G$1005,'LANÇAMENTOS'!$I$6:$I$1005,$C$4,'LANÇAMENTOS'!$B$6:$B$1005,"SAÍDA",'LANÇAMENTOS'!$C$6:$C$1005,"PROJETADO",'LANÇAMENTOS'!$D$6:$D$1005,$F53))</f>
        <v/>
      </c>
      <c r="I53" s="43">
        <f>IF($F53="","",SUMIFS('LANÇAMENTOS'!$G$6:$G$1005,'LANÇAMENTOS'!$I$6:$I$1005,$C$4,'LANÇAMENTOS'!$B$6:$B$1005,"SAÍDA",'LANÇAMENTOS'!$D$6:$D$1005,$F53))</f>
        <v/>
      </c>
    </row>
    <row r="54">
      <c r="A54" s="18">
        <f>IF(LISTAS!$B44="ENTRADA",LISTAS!$A44,"")</f>
        <v/>
      </c>
      <c r="B54" s="31">
        <f>IF($A54="","",SUMIFS('LANÇAMENTOS'!$G$6:$G$1005,'LANÇAMENTOS'!$I$6:$I$1005,$C$4,'LANÇAMENTOS'!$B$6:$B$1005,"ENTRADA",'LANÇAMENTOS'!$C$6:$C$1005,"REALIZADO",'LANÇAMENTOS'!$D$6:$D$1005,$A54))</f>
        <v/>
      </c>
      <c r="C54" s="31">
        <f>IF($A54="","",SUMIFS('LANÇAMENTOS'!$G$6:$G$1005,'LANÇAMENTOS'!$I$6:$I$1005,$C$4,'LANÇAMENTOS'!$B$6:$B$1005,"ENTRADA",'LANÇAMENTOS'!$C$6:$C$1005,"PROJETADO",'LANÇAMENTOS'!$D$6:$D$1005,$A54))</f>
        <v/>
      </c>
      <c r="D54" s="43">
        <f>IF($A54="","",SUMIFS('LANÇAMENTOS'!$G$6:$G$1005,'LANÇAMENTOS'!$I$6:$I$1005,$C$4,'LANÇAMENTOS'!$B$6:$B$1005,"ENTRADA",'LANÇAMENTOS'!$D$6:$D$1005,$A54))</f>
        <v/>
      </c>
      <c r="F54" s="18">
        <f>IF(LISTAS!$B44="SAÍDA",LISTAS!$A44,"")</f>
        <v/>
      </c>
      <c r="G54" s="31">
        <f>IF($F54="","",SUMIFS('LANÇAMENTOS'!$G$6:$G$1005,'LANÇAMENTOS'!$I$6:$I$1005,$C$4,'LANÇAMENTOS'!$B$6:$B$1005,"SAÍDA",'LANÇAMENTOS'!$C$6:$C$1005,"REALIZADO",'LANÇAMENTOS'!$D$6:$D$1005,$F54))</f>
        <v/>
      </c>
      <c r="H54" s="31">
        <f>IF($F54="","",SUMIFS('LANÇAMENTOS'!$G$6:$G$1005,'LANÇAMENTOS'!$I$6:$I$1005,$C$4,'LANÇAMENTOS'!$B$6:$B$1005,"SAÍDA",'LANÇAMENTOS'!$C$6:$C$1005,"PROJETADO",'LANÇAMENTOS'!$D$6:$D$1005,$F54))</f>
        <v/>
      </c>
      <c r="I54" s="43">
        <f>IF($F54="","",SUMIFS('LANÇAMENTOS'!$G$6:$G$1005,'LANÇAMENTOS'!$I$6:$I$1005,$C$4,'LANÇAMENTOS'!$B$6:$B$1005,"SAÍDA",'LANÇAMENTOS'!$D$6:$D$1005,$F54))</f>
        <v/>
      </c>
    </row>
    <row r="55">
      <c r="A55" s="18">
        <f>IF(LISTAS!$B45="ENTRADA",LISTAS!$A45,"")</f>
        <v/>
      </c>
      <c r="B55" s="31">
        <f>IF($A55="","",SUMIFS('LANÇAMENTOS'!$G$6:$G$1005,'LANÇAMENTOS'!$I$6:$I$1005,$C$4,'LANÇAMENTOS'!$B$6:$B$1005,"ENTRADA",'LANÇAMENTOS'!$C$6:$C$1005,"REALIZADO",'LANÇAMENTOS'!$D$6:$D$1005,$A55))</f>
        <v/>
      </c>
      <c r="C55" s="31">
        <f>IF($A55="","",SUMIFS('LANÇAMENTOS'!$G$6:$G$1005,'LANÇAMENTOS'!$I$6:$I$1005,$C$4,'LANÇAMENTOS'!$B$6:$B$1005,"ENTRADA",'LANÇAMENTOS'!$C$6:$C$1005,"PROJETADO",'LANÇAMENTOS'!$D$6:$D$1005,$A55))</f>
        <v/>
      </c>
      <c r="D55" s="43">
        <f>IF($A55="","",SUMIFS('LANÇAMENTOS'!$G$6:$G$1005,'LANÇAMENTOS'!$I$6:$I$1005,$C$4,'LANÇAMENTOS'!$B$6:$B$1005,"ENTRADA",'LANÇAMENTOS'!$D$6:$D$1005,$A55))</f>
        <v/>
      </c>
      <c r="F55" s="18">
        <f>IF(LISTAS!$B45="SAÍDA",LISTAS!$A45,"")</f>
        <v/>
      </c>
      <c r="G55" s="31">
        <f>IF($F55="","",SUMIFS('LANÇAMENTOS'!$G$6:$G$1005,'LANÇAMENTOS'!$I$6:$I$1005,$C$4,'LANÇAMENTOS'!$B$6:$B$1005,"SAÍDA",'LANÇAMENTOS'!$C$6:$C$1005,"REALIZADO",'LANÇAMENTOS'!$D$6:$D$1005,$F55))</f>
        <v/>
      </c>
      <c r="H55" s="31">
        <f>IF($F55="","",SUMIFS('LANÇAMENTOS'!$G$6:$G$1005,'LANÇAMENTOS'!$I$6:$I$1005,$C$4,'LANÇAMENTOS'!$B$6:$B$1005,"SAÍDA",'LANÇAMENTOS'!$C$6:$C$1005,"PROJETADO",'LANÇAMENTOS'!$D$6:$D$1005,$F55))</f>
        <v/>
      </c>
      <c r="I55" s="43">
        <f>IF($F55="","",SUMIFS('LANÇAMENTOS'!$G$6:$G$1005,'LANÇAMENTOS'!$I$6:$I$1005,$C$4,'LANÇAMENTOS'!$B$6:$B$1005,"SAÍDA",'LANÇAMENTOS'!$D$6:$D$1005,$F55))</f>
        <v/>
      </c>
    </row>
    <row r="56">
      <c r="A56" s="40" t="inlineStr">
        <is>
          <t>TOTAL</t>
        </is>
      </c>
      <c r="B56" s="44">
        <f>SUM(B16:B55)</f>
        <v/>
      </c>
      <c r="C56" s="44">
        <f>SUM(C16:C55)</f>
        <v/>
      </c>
      <c r="D56" s="44">
        <f>SUM(D16:D55)</f>
        <v/>
      </c>
      <c r="F56" s="41" t="inlineStr">
        <is>
          <t>TOTAL</t>
        </is>
      </c>
      <c r="G56" s="45">
        <f>SUM(G16:G55)</f>
        <v/>
      </c>
      <c r="H56" s="45">
        <f>SUM(H16:H55)</f>
        <v/>
      </c>
      <c r="I56" s="45">
        <f>SUM(I16:I55)</f>
        <v/>
      </c>
    </row>
    <row r="58">
      <c r="A58" s="27" t="inlineStr">
        <is>
          <t>CONFERÊNCIA</t>
        </is>
      </c>
      <c r="B58" s="28" t="n"/>
      <c r="C58" s="28" t="n"/>
      <c r="D58" s="29" t="n"/>
    </row>
    <row r="59">
      <c r="A59" s="18" t="inlineStr">
        <is>
          <t>Entradas: KPI menos soma das categorias</t>
        </is>
      </c>
      <c r="B59" s="28" t="n"/>
      <c r="C59" s="29" t="n"/>
      <c r="D59" s="46">
        <f>$B$9-$D$56</f>
        <v/>
      </c>
    </row>
    <row r="60">
      <c r="A60" s="18" t="inlineStr">
        <is>
          <t>Saídas: KPI menos soma das categorias</t>
        </is>
      </c>
      <c r="B60" s="28" t="n"/>
      <c r="C60" s="29" t="n"/>
      <c r="D60" s="46">
        <f>$B$10-$I$56</f>
        <v/>
      </c>
    </row>
    <row r="61">
      <c r="A61" s="18" t="inlineStr">
        <is>
          <t>Lançamentos sem tipo ou sem status</t>
        </is>
      </c>
      <c r="B61" s="28" t="n"/>
      <c r="C61" s="29" t="n"/>
      <c r="D61" s="46">
        <f>SUMPRODUCT(('LANÇAMENTOS'!$A$6:$A$1005&lt;&gt;"")*(('LANÇAMENTOS'!$B$6:$B$1005="")+('LANÇAMENTOS'!$C$6:$C$1005="")&gt;0))</f>
        <v/>
      </c>
    </row>
    <row r="62">
      <c r="A62" s="18" t="inlineStr">
        <is>
          <t>Compras de cartão sem nº de parcelas</t>
        </is>
      </c>
      <c r="B62" s="28" t="n"/>
      <c r="C62" s="29" t="n"/>
      <c r="D62" s="46">
        <f>SUMPRODUCT((CARTÕES!$A$6:$A$65&lt;&gt;"")*(CARTÕES!$F$6:$F$65=""))</f>
        <v/>
      </c>
    </row>
    <row r="63">
      <c r="A63" s="18" t="inlineStr">
        <is>
          <t>Parcelas: soma das parcelas menos total comprado</t>
        </is>
      </c>
      <c r="B63" s="28" t="n"/>
      <c r="C63" s="29" t="n"/>
      <c r="D63" s="46">
        <f>SUMPRODUCT((PARCELAS!$C$6:$AL$65&gt;0)*PARCELAS!$AM$6:$BV$65)-SUM(CARTÕES!$E$6:$E$65)</f>
        <v/>
      </c>
    </row>
    <row r="64">
      <c r="A64" s="2" t="inlineStr">
        <is>
          <t>Tudo em zero = a planilha está fechando. Qualquer número diferente de zero fica vermelho.</t>
        </is>
      </c>
    </row>
  </sheetData>
  <mergeCells count="18">
    <mergeCell ref="F14:I14"/>
    <mergeCell ref="A60:C60"/>
    <mergeCell ref="E6:F6"/>
    <mergeCell ref="C6:D6"/>
    <mergeCell ref="C7:D7"/>
    <mergeCell ref="A7:B7"/>
    <mergeCell ref="G7:H7"/>
    <mergeCell ref="E7:F7"/>
    <mergeCell ref="A58:D58"/>
    <mergeCell ref="A63:C63"/>
    <mergeCell ref="A2:H2"/>
    <mergeCell ref="A61:C61"/>
    <mergeCell ref="A62:C62"/>
    <mergeCell ref="G6:H6"/>
    <mergeCell ref="A1:H1"/>
    <mergeCell ref="A59:C59"/>
    <mergeCell ref="A6:B6"/>
    <mergeCell ref="A14:D14"/>
  </mergeCells>
  <conditionalFormatting sqref="B12">
    <cfRule type="cellIs" priority="1" operator="lessThan" dxfId="1">
      <formula>0</formula>
    </cfRule>
  </conditionalFormatting>
  <conditionalFormatting sqref="D59">
    <cfRule type="cellIs" priority="2" operator="notEqual" dxfId="2">
      <formula>0</formula>
    </cfRule>
    <cfRule type="cellIs" priority="3" operator="equal" dxfId="3">
      <formula>0</formula>
    </cfRule>
  </conditionalFormatting>
  <conditionalFormatting sqref="D60">
    <cfRule type="cellIs" priority="4" operator="notEqual" dxfId="2">
      <formula>0</formula>
    </cfRule>
    <cfRule type="cellIs" priority="5" operator="equal" dxfId="3">
      <formula>0</formula>
    </cfRule>
  </conditionalFormatting>
  <conditionalFormatting sqref="D61">
    <cfRule type="cellIs" priority="6" operator="notEqual" dxfId="2">
      <formula>0</formula>
    </cfRule>
    <cfRule type="cellIs" priority="7" operator="equal" dxfId="3">
      <formula>0</formula>
    </cfRule>
  </conditionalFormatting>
  <conditionalFormatting sqref="D62">
    <cfRule type="cellIs" priority="8" operator="notEqual" dxfId="2">
      <formula>0</formula>
    </cfRule>
    <cfRule type="cellIs" priority="9" operator="equal" dxfId="3">
      <formula>0</formula>
    </cfRule>
  </conditionalFormatting>
  <conditionalFormatting sqref="D63">
    <cfRule type="cellIs" priority="10" operator="notEqual" dxfId="2">
      <formula>0</formula>
    </cfRule>
    <cfRule type="cellIs" priority="11" operator="equal" dxfId="3">
      <formula>0</formula>
    </cfRule>
  </conditionalFormatting>
  <dataValidations count="2">
    <dataValidation sqref="B4" showDropDown="0" showInputMessage="0" showErrorMessage="0" allowBlank="0" errorTitle="Mês" error="Digite o mês de 1 a 12." type="whole" operator="between">
      <formula1>1</formula1>
      <formula2>12</formula2>
    </dataValidation>
    <dataValidation sqref="A4" showDropDown="0" showInputMessage="0" showErrorMessage="0" allowBlank="0" errorTitle="Ano" error="Digite o ano com 4 dígitos." type="whole" operator="between">
      <formula1>2000</formula1>
      <formula2>2100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33C00"/>
    <outlinePr summaryBelow="1" summaryRight="1"/>
    <pageSetUpPr/>
  </sheetPr>
  <dimension ref="A1:N1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4" customHeight="1">
      <c r="A1" s="1" t="inlineStr">
        <is>
          <t>RESUMO ANUAL</t>
        </is>
      </c>
    </row>
    <row r="2">
      <c r="A2" s="2" t="inlineStr">
        <is>
          <t>Os 12 meses do ano lado a lado. Troque o ano na célula amarela.</t>
        </is>
      </c>
    </row>
    <row r="3">
      <c r="A3" s="9" t="inlineStr">
        <is>
          <t>Ano</t>
        </is>
      </c>
    </row>
    <row r="4">
      <c r="A4" s="37" t="n">
        <v>2026</v>
      </c>
    </row>
    <row r="5" ht="30" customHeight="1">
      <c r="A5" s="15" t="inlineStr">
        <is>
          <t>Mês</t>
        </is>
      </c>
      <c r="B5" s="15" t="inlineStr">
        <is>
          <t>Entradas realizadas</t>
        </is>
      </c>
      <c r="C5" s="15" t="inlineStr">
        <is>
          <t>Entradas projetadas</t>
        </is>
      </c>
      <c r="D5" s="15" t="inlineStr">
        <is>
          <t>Entradas total</t>
        </is>
      </c>
      <c r="E5" s="15" t="inlineStr">
        <is>
          <t>Saídas realizadas</t>
        </is>
      </c>
      <c r="F5" s="15" t="inlineStr">
        <is>
          <t>Saídas projetadas</t>
        </is>
      </c>
      <c r="G5" s="15" t="inlineStr">
        <is>
          <t>Saídas total</t>
        </is>
      </c>
      <c r="H5" s="15" t="inlineStr">
        <is>
          <t>Cartão (parcelas)</t>
        </is>
      </c>
      <c r="I5" s="15" t="inlineStr">
        <is>
          <t>Resultado do mês</t>
        </is>
      </c>
      <c r="J5" s="15" t="inlineStr">
        <is>
          <t>Saldo acumulado</t>
        </is>
      </c>
    </row>
    <row r="6">
      <c r="A6" s="47">
        <f>INDEX(LISTAS!$K$6:$K$17,1)</f>
        <v/>
      </c>
      <c r="B6" s="31">
        <f>SUMIFS('LANÇAMENTOS'!$G$6:$G$1005,'LANÇAMENTOS'!$I$6:$I$1005,($A$4*12+1),'LANÇAMENTOS'!$B$6:$B$1005,"ENTRADA",'LANÇAMENTOS'!$C$6:$C$1005,"REALIZADO")</f>
        <v/>
      </c>
      <c r="C6" s="31">
        <f>SUMIFS('LANÇAMENTOS'!$G$6:$G$1005,'LANÇAMENTOS'!$I$6:$I$1005,($A$4*12+1),'LANÇAMENTOS'!$B$6:$B$1005,"ENTRADA",'LANÇAMENTOS'!$C$6:$C$1005,"PROJETADO")</f>
        <v/>
      </c>
      <c r="D6" s="48">
        <f>B6+C6</f>
        <v/>
      </c>
      <c r="E6" s="31">
        <f>SUMIFS('LANÇAMENTOS'!$G$6:$G$1005,'LANÇAMENTOS'!$I$6:$I$1005,($A$4*12+1),'LANÇAMENTOS'!$B$6:$B$1005,"SAÍDA",'LANÇAMENTOS'!$C$6:$C$1005,"REALIZADO")</f>
        <v/>
      </c>
      <c r="F6" s="31">
        <f>SUMIFS('LANÇAMENTOS'!$G$6:$G$1005,'LANÇAMENTOS'!$I$6:$I$1005,($A$4*12+1),'LANÇAMENTOS'!$B$6:$B$1005,"SAÍDA",'LANÇAMENTOS'!$C$6:$C$1005,"PROJETADO")</f>
        <v/>
      </c>
      <c r="G6" s="32">
        <f>E6+F6</f>
        <v/>
      </c>
      <c r="H6" s="49">
        <f>SUMPRODUCT((PARCELAS!$C$6:$AL$65=($A$4*12+1))*PARCELAS!$AM$6:$BV$65)</f>
        <v/>
      </c>
      <c r="I6" s="50">
        <f>D6-G6-H6</f>
        <v/>
      </c>
      <c r="J6" s="51">
        <f>I6</f>
        <v/>
      </c>
    </row>
    <row r="7">
      <c r="A7" s="47">
        <f>INDEX(LISTAS!$K$6:$K$17,2)</f>
        <v/>
      </c>
      <c r="B7" s="31">
        <f>SUMIFS('LANÇAMENTOS'!$G$6:$G$1005,'LANÇAMENTOS'!$I$6:$I$1005,($A$4*12+2),'LANÇAMENTOS'!$B$6:$B$1005,"ENTRADA",'LANÇAMENTOS'!$C$6:$C$1005,"REALIZADO")</f>
        <v/>
      </c>
      <c r="C7" s="31">
        <f>SUMIFS('LANÇAMENTOS'!$G$6:$G$1005,'LANÇAMENTOS'!$I$6:$I$1005,($A$4*12+2),'LANÇAMENTOS'!$B$6:$B$1005,"ENTRADA",'LANÇAMENTOS'!$C$6:$C$1005,"PROJETADO")</f>
        <v/>
      </c>
      <c r="D7" s="48">
        <f>B7+C7</f>
        <v/>
      </c>
      <c r="E7" s="31">
        <f>SUMIFS('LANÇAMENTOS'!$G$6:$G$1005,'LANÇAMENTOS'!$I$6:$I$1005,($A$4*12+2),'LANÇAMENTOS'!$B$6:$B$1005,"SAÍDA",'LANÇAMENTOS'!$C$6:$C$1005,"REALIZADO")</f>
        <v/>
      </c>
      <c r="F7" s="31">
        <f>SUMIFS('LANÇAMENTOS'!$G$6:$G$1005,'LANÇAMENTOS'!$I$6:$I$1005,($A$4*12+2),'LANÇAMENTOS'!$B$6:$B$1005,"SAÍDA",'LANÇAMENTOS'!$C$6:$C$1005,"PROJETADO")</f>
        <v/>
      </c>
      <c r="G7" s="32">
        <f>E7+F7</f>
        <v/>
      </c>
      <c r="H7" s="49">
        <f>SUMPRODUCT((PARCELAS!$C$6:$AL$65=($A$4*12+2))*PARCELAS!$AM$6:$BV$65)</f>
        <v/>
      </c>
      <c r="I7" s="50">
        <f>D7-G7-H7</f>
        <v/>
      </c>
      <c r="J7" s="51">
        <f>J6+I7</f>
        <v/>
      </c>
    </row>
    <row r="8">
      <c r="A8" s="47">
        <f>INDEX(LISTAS!$K$6:$K$17,3)</f>
        <v/>
      </c>
      <c r="B8" s="31">
        <f>SUMIFS('LANÇAMENTOS'!$G$6:$G$1005,'LANÇAMENTOS'!$I$6:$I$1005,($A$4*12+3),'LANÇAMENTOS'!$B$6:$B$1005,"ENTRADA",'LANÇAMENTOS'!$C$6:$C$1005,"REALIZADO")</f>
        <v/>
      </c>
      <c r="C8" s="31">
        <f>SUMIFS('LANÇAMENTOS'!$G$6:$G$1005,'LANÇAMENTOS'!$I$6:$I$1005,($A$4*12+3),'LANÇAMENTOS'!$B$6:$B$1005,"ENTRADA",'LANÇAMENTOS'!$C$6:$C$1005,"PROJETADO")</f>
        <v/>
      </c>
      <c r="D8" s="48">
        <f>B8+C8</f>
        <v/>
      </c>
      <c r="E8" s="31">
        <f>SUMIFS('LANÇAMENTOS'!$G$6:$G$1005,'LANÇAMENTOS'!$I$6:$I$1005,($A$4*12+3),'LANÇAMENTOS'!$B$6:$B$1005,"SAÍDA",'LANÇAMENTOS'!$C$6:$C$1005,"REALIZADO")</f>
        <v/>
      </c>
      <c r="F8" s="31">
        <f>SUMIFS('LANÇAMENTOS'!$G$6:$G$1005,'LANÇAMENTOS'!$I$6:$I$1005,($A$4*12+3),'LANÇAMENTOS'!$B$6:$B$1005,"SAÍDA",'LANÇAMENTOS'!$C$6:$C$1005,"PROJETADO")</f>
        <v/>
      </c>
      <c r="G8" s="32">
        <f>E8+F8</f>
        <v/>
      </c>
      <c r="H8" s="49">
        <f>SUMPRODUCT((PARCELAS!$C$6:$AL$65=($A$4*12+3))*PARCELAS!$AM$6:$BV$65)</f>
        <v/>
      </c>
      <c r="I8" s="50">
        <f>D8-G8-H8</f>
        <v/>
      </c>
      <c r="J8" s="51">
        <f>J7+I8</f>
        <v/>
      </c>
    </row>
    <row r="9">
      <c r="A9" s="47">
        <f>INDEX(LISTAS!$K$6:$K$17,4)</f>
        <v/>
      </c>
      <c r="B9" s="31">
        <f>SUMIFS('LANÇAMENTOS'!$G$6:$G$1005,'LANÇAMENTOS'!$I$6:$I$1005,($A$4*12+4),'LANÇAMENTOS'!$B$6:$B$1005,"ENTRADA",'LANÇAMENTOS'!$C$6:$C$1005,"REALIZADO")</f>
        <v/>
      </c>
      <c r="C9" s="31">
        <f>SUMIFS('LANÇAMENTOS'!$G$6:$G$1005,'LANÇAMENTOS'!$I$6:$I$1005,($A$4*12+4),'LANÇAMENTOS'!$B$6:$B$1005,"ENTRADA",'LANÇAMENTOS'!$C$6:$C$1005,"PROJETADO")</f>
        <v/>
      </c>
      <c r="D9" s="48">
        <f>B9+C9</f>
        <v/>
      </c>
      <c r="E9" s="31">
        <f>SUMIFS('LANÇAMENTOS'!$G$6:$G$1005,'LANÇAMENTOS'!$I$6:$I$1005,($A$4*12+4),'LANÇAMENTOS'!$B$6:$B$1005,"SAÍDA",'LANÇAMENTOS'!$C$6:$C$1005,"REALIZADO")</f>
        <v/>
      </c>
      <c r="F9" s="31">
        <f>SUMIFS('LANÇAMENTOS'!$G$6:$G$1005,'LANÇAMENTOS'!$I$6:$I$1005,($A$4*12+4),'LANÇAMENTOS'!$B$6:$B$1005,"SAÍDA",'LANÇAMENTOS'!$C$6:$C$1005,"PROJETADO")</f>
        <v/>
      </c>
      <c r="G9" s="32">
        <f>E9+F9</f>
        <v/>
      </c>
      <c r="H9" s="49">
        <f>SUMPRODUCT((PARCELAS!$C$6:$AL$65=($A$4*12+4))*PARCELAS!$AM$6:$BV$65)</f>
        <v/>
      </c>
      <c r="I9" s="50">
        <f>D9-G9-H9</f>
        <v/>
      </c>
      <c r="J9" s="51">
        <f>J8+I9</f>
        <v/>
      </c>
    </row>
    <row r="10">
      <c r="A10" s="47">
        <f>INDEX(LISTAS!$K$6:$K$17,5)</f>
        <v/>
      </c>
      <c r="B10" s="31">
        <f>SUMIFS('LANÇAMENTOS'!$G$6:$G$1005,'LANÇAMENTOS'!$I$6:$I$1005,($A$4*12+5),'LANÇAMENTOS'!$B$6:$B$1005,"ENTRADA",'LANÇAMENTOS'!$C$6:$C$1005,"REALIZADO")</f>
        <v/>
      </c>
      <c r="C10" s="31">
        <f>SUMIFS('LANÇAMENTOS'!$G$6:$G$1005,'LANÇAMENTOS'!$I$6:$I$1005,($A$4*12+5),'LANÇAMENTOS'!$B$6:$B$1005,"ENTRADA",'LANÇAMENTOS'!$C$6:$C$1005,"PROJETADO")</f>
        <v/>
      </c>
      <c r="D10" s="48">
        <f>B10+C10</f>
        <v/>
      </c>
      <c r="E10" s="31">
        <f>SUMIFS('LANÇAMENTOS'!$G$6:$G$1005,'LANÇAMENTOS'!$I$6:$I$1005,($A$4*12+5),'LANÇAMENTOS'!$B$6:$B$1005,"SAÍDA",'LANÇAMENTOS'!$C$6:$C$1005,"REALIZADO")</f>
        <v/>
      </c>
      <c r="F10" s="31">
        <f>SUMIFS('LANÇAMENTOS'!$G$6:$G$1005,'LANÇAMENTOS'!$I$6:$I$1005,($A$4*12+5),'LANÇAMENTOS'!$B$6:$B$1005,"SAÍDA",'LANÇAMENTOS'!$C$6:$C$1005,"PROJETADO")</f>
        <v/>
      </c>
      <c r="G10" s="32">
        <f>E10+F10</f>
        <v/>
      </c>
      <c r="H10" s="49">
        <f>SUMPRODUCT((PARCELAS!$C$6:$AL$65=($A$4*12+5))*PARCELAS!$AM$6:$BV$65)</f>
        <v/>
      </c>
      <c r="I10" s="50">
        <f>D10-G10-H10</f>
        <v/>
      </c>
      <c r="J10" s="51">
        <f>J9+I10</f>
        <v/>
      </c>
    </row>
    <row r="11">
      <c r="A11" s="47">
        <f>INDEX(LISTAS!$K$6:$K$17,6)</f>
        <v/>
      </c>
      <c r="B11" s="31">
        <f>SUMIFS('LANÇAMENTOS'!$G$6:$G$1005,'LANÇAMENTOS'!$I$6:$I$1005,($A$4*12+6),'LANÇAMENTOS'!$B$6:$B$1005,"ENTRADA",'LANÇAMENTOS'!$C$6:$C$1005,"REALIZADO")</f>
        <v/>
      </c>
      <c r="C11" s="31">
        <f>SUMIFS('LANÇAMENTOS'!$G$6:$G$1005,'LANÇAMENTOS'!$I$6:$I$1005,($A$4*12+6),'LANÇAMENTOS'!$B$6:$B$1005,"ENTRADA",'LANÇAMENTOS'!$C$6:$C$1005,"PROJETADO")</f>
        <v/>
      </c>
      <c r="D11" s="48">
        <f>B11+C11</f>
        <v/>
      </c>
      <c r="E11" s="31">
        <f>SUMIFS('LANÇAMENTOS'!$G$6:$G$1005,'LANÇAMENTOS'!$I$6:$I$1005,($A$4*12+6),'LANÇAMENTOS'!$B$6:$B$1005,"SAÍDA",'LANÇAMENTOS'!$C$6:$C$1005,"REALIZADO")</f>
        <v/>
      </c>
      <c r="F11" s="31">
        <f>SUMIFS('LANÇAMENTOS'!$G$6:$G$1005,'LANÇAMENTOS'!$I$6:$I$1005,($A$4*12+6),'LANÇAMENTOS'!$B$6:$B$1005,"SAÍDA",'LANÇAMENTOS'!$C$6:$C$1005,"PROJETADO")</f>
        <v/>
      </c>
      <c r="G11" s="32">
        <f>E11+F11</f>
        <v/>
      </c>
      <c r="H11" s="49">
        <f>SUMPRODUCT((PARCELAS!$C$6:$AL$65=($A$4*12+6))*PARCELAS!$AM$6:$BV$65)</f>
        <v/>
      </c>
      <c r="I11" s="50">
        <f>D11-G11-H11</f>
        <v/>
      </c>
      <c r="J11" s="51">
        <f>J10+I11</f>
        <v/>
      </c>
    </row>
    <row r="12">
      <c r="A12" s="47">
        <f>INDEX(LISTAS!$K$6:$K$17,7)</f>
        <v/>
      </c>
      <c r="B12" s="31">
        <f>SUMIFS('LANÇAMENTOS'!$G$6:$G$1005,'LANÇAMENTOS'!$I$6:$I$1005,($A$4*12+7),'LANÇAMENTOS'!$B$6:$B$1005,"ENTRADA",'LANÇAMENTOS'!$C$6:$C$1005,"REALIZADO")</f>
        <v/>
      </c>
      <c r="C12" s="31">
        <f>SUMIFS('LANÇAMENTOS'!$G$6:$G$1005,'LANÇAMENTOS'!$I$6:$I$1005,($A$4*12+7),'LANÇAMENTOS'!$B$6:$B$1005,"ENTRADA",'LANÇAMENTOS'!$C$6:$C$1005,"PROJETADO")</f>
        <v/>
      </c>
      <c r="D12" s="48">
        <f>B12+C12</f>
        <v/>
      </c>
      <c r="E12" s="31">
        <f>SUMIFS('LANÇAMENTOS'!$G$6:$G$1005,'LANÇAMENTOS'!$I$6:$I$1005,($A$4*12+7),'LANÇAMENTOS'!$B$6:$B$1005,"SAÍDA",'LANÇAMENTOS'!$C$6:$C$1005,"REALIZADO")</f>
        <v/>
      </c>
      <c r="F12" s="31">
        <f>SUMIFS('LANÇAMENTOS'!$G$6:$G$1005,'LANÇAMENTOS'!$I$6:$I$1005,($A$4*12+7),'LANÇAMENTOS'!$B$6:$B$1005,"SAÍDA",'LANÇAMENTOS'!$C$6:$C$1005,"PROJETADO")</f>
        <v/>
      </c>
      <c r="G12" s="32">
        <f>E12+F12</f>
        <v/>
      </c>
      <c r="H12" s="49">
        <f>SUMPRODUCT((PARCELAS!$C$6:$AL$65=($A$4*12+7))*PARCELAS!$AM$6:$BV$65)</f>
        <v/>
      </c>
      <c r="I12" s="50">
        <f>D12-G12-H12</f>
        <v/>
      </c>
      <c r="J12" s="51">
        <f>J11+I12</f>
        <v/>
      </c>
    </row>
    <row r="13">
      <c r="A13" s="47">
        <f>INDEX(LISTAS!$K$6:$K$17,8)</f>
        <v/>
      </c>
      <c r="B13" s="31">
        <f>SUMIFS('LANÇAMENTOS'!$G$6:$G$1005,'LANÇAMENTOS'!$I$6:$I$1005,($A$4*12+8),'LANÇAMENTOS'!$B$6:$B$1005,"ENTRADA",'LANÇAMENTOS'!$C$6:$C$1005,"REALIZADO")</f>
        <v/>
      </c>
      <c r="C13" s="31">
        <f>SUMIFS('LANÇAMENTOS'!$G$6:$G$1005,'LANÇAMENTOS'!$I$6:$I$1005,($A$4*12+8),'LANÇAMENTOS'!$B$6:$B$1005,"ENTRADA",'LANÇAMENTOS'!$C$6:$C$1005,"PROJETADO")</f>
        <v/>
      </c>
      <c r="D13" s="48">
        <f>B13+C13</f>
        <v/>
      </c>
      <c r="E13" s="31">
        <f>SUMIFS('LANÇAMENTOS'!$G$6:$G$1005,'LANÇAMENTOS'!$I$6:$I$1005,($A$4*12+8),'LANÇAMENTOS'!$B$6:$B$1005,"SAÍDA",'LANÇAMENTOS'!$C$6:$C$1005,"REALIZADO")</f>
        <v/>
      </c>
      <c r="F13" s="31">
        <f>SUMIFS('LANÇAMENTOS'!$G$6:$G$1005,'LANÇAMENTOS'!$I$6:$I$1005,($A$4*12+8),'LANÇAMENTOS'!$B$6:$B$1005,"SAÍDA",'LANÇAMENTOS'!$C$6:$C$1005,"PROJETADO")</f>
        <v/>
      </c>
      <c r="G13" s="32">
        <f>E13+F13</f>
        <v/>
      </c>
      <c r="H13" s="49">
        <f>SUMPRODUCT((PARCELAS!$C$6:$AL$65=($A$4*12+8))*PARCELAS!$AM$6:$BV$65)</f>
        <v/>
      </c>
      <c r="I13" s="50">
        <f>D13-G13-H13</f>
        <v/>
      </c>
      <c r="J13" s="51">
        <f>J12+I13</f>
        <v/>
      </c>
    </row>
    <row r="14">
      <c r="A14" s="47">
        <f>INDEX(LISTAS!$K$6:$K$17,9)</f>
        <v/>
      </c>
      <c r="B14" s="31">
        <f>SUMIFS('LANÇAMENTOS'!$G$6:$G$1005,'LANÇAMENTOS'!$I$6:$I$1005,($A$4*12+9),'LANÇAMENTOS'!$B$6:$B$1005,"ENTRADA",'LANÇAMENTOS'!$C$6:$C$1005,"REALIZADO")</f>
        <v/>
      </c>
      <c r="C14" s="31">
        <f>SUMIFS('LANÇAMENTOS'!$G$6:$G$1005,'LANÇAMENTOS'!$I$6:$I$1005,($A$4*12+9),'LANÇAMENTOS'!$B$6:$B$1005,"ENTRADA",'LANÇAMENTOS'!$C$6:$C$1005,"PROJETADO")</f>
        <v/>
      </c>
      <c r="D14" s="48">
        <f>B14+C14</f>
        <v/>
      </c>
      <c r="E14" s="31">
        <f>SUMIFS('LANÇAMENTOS'!$G$6:$G$1005,'LANÇAMENTOS'!$I$6:$I$1005,($A$4*12+9),'LANÇAMENTOS'!$B$6:$B$1005,"SAÍDA",'LANÇAMENTOS'!$C$6:$C$1005,"REALIZADO")</f>
        <v/>
      </c>
      <c r="F14" s="31">
        <f>SUMIFS('LANÇAMENTOS'!$G$6:$G$1005,'LANÇAMENTOS'!$I$6:$I$1005,($A$4*12+9),'LANÇAMENTOS'!$B$6:$B$1005,"SAÍDA",'LANÇAMENTOS'!$C$6:$C$1005,"PROJETADO")</f>
        <v/>
      </c>
      <c r="G14" s="32">
        <f>E14+F14</f>
        <v/>
      </c>
      <c r="H14" s="49">
        <f>SUMPRODUCT((PARCELAS!$C$6:$AL$65=($A$4*12+9))*PARCELAS!$AM$6:$BV$65)</f>
        <v/>
      </c>
      <c r="I14" s="50">
        <f>D14-G14-H14</f>
        <v/>
      </c>
      <c r="J14" s="51">
        <f>J13+I14</f>
        <v/>
      </c>
    </row>
    <row r="15">
      <c r="A15" s="47">
        <f>INDEX(LISTAS!$K$6:$K$17,10)</f>
        <v/>
      </c>
      <c r="B15" s="31">
        <f>SUMIFS('LANÇAMENTOS'!$G$6:$G$1005,'LANÇAMENTOS'!$I$6:$I$1005,($A$4*12+10),'LANÇAMENTOS'!$B$6:$B$1005,"ENTRADA",'LANÇAMENTOS'!$C$6:$C$1005,"REALIZADO")</f>
        <v/>
      </c>
      <c r="C15" s="31">
        <f>SUMIFS('LANÇAMENTOS'!$G$6:$G$1005,'LANÇAMENTOS'!$I$6:$I$1005,($A$4*12+10),'LANÇAMENTOS'!$B$6:$B$1005,"ENTRADA",'LANÇAMENTOS'!$C$6:$C$1005,"PROJETADO")</f>
        <v/>
      </c>
      <c r="D15" s="48">
        <f>B15+C15</f>
        <v/>
      </c>
      <c r="E15" s="31">
        <f>SUMIFS('LANÇAMENTOS'!$G$6:$G$1005,'LANÇAMENTOS'!$I$6:$I$1005,($A$4*12+10),'LANÇAMENTOS'!$B$6:$B$1005,"SAÍDA",'LANÇAMENTOS'!$C$6:$C$1005,"REALIZADO")</f>
        <v/>
      </c>
      <c r="F15" s="31">
        <f>SUMIFS('LANÇAMENTOS'!$G$6:$G$1005,'LANÇAMENTOS'!$I$6:$I$1005,($A$4*12+10),'LANÇAMENTOS'!$B$6:$B$1005,"SAÍDA",'LANÇAMENTOS'!$C$6:$C$1005,"PROJETADO")</f>
        <v/>
      </c>
      <c r="G15" s="32">
        <f>E15+F15</f>
        <v/>
      </c>
      <c r="H15" s="49">
        <f>SUMPRODUCT((PARCELAS!$C$6:$AL$65=($A$4*12+10))*PARCELAS!$AM$6:$BV$65)</f>
        <v/>
      </c>
      <c r="I15" s="50">
        <f>D15-G15-H15</f>
        <v/>
      </c>
      <c r="J15" s="51">
        <f>J14+I15</f>
        <v/>
      </c>
    </row>
    <row r="16">
      <c r="A16" s="47">
        <f>INDEX(LISTAS!$K$6:$K$17,11)</f>
        <v/>
      </c>
      <c r="B16" s="31">
        <f>SUMIFS('LANÇAMENTOS'!$G$6:$G$1005,'LANÇAMENTOS'!$I$6:$I$1005,($A$4*12+11),'LANÇAMENTOS'!$B$6:$B$1005,"ENTRADA",'LANÇAMENTOS'!$C$6:$C$1005,"REALIZADO")</f>
        <v/>
      </c>
      <c r="C16" s="31">
        <f>SUMIFS('LANÇAMENTOS'!$G$6:$G$1005,'LANÇAMENTOS'!$I$6:$I$1005,($A$4*12+11),'LANÇAMENTOS'!$B$6:$B$1005,"ENTRADA",'LANÇAMENTOS'!$C$6:$C$1005,"PROJETADO")</f>
        <v/>
      </c>
      <c r="D16" s="48">
        <f>B16+C16</f>
        <v/>
      </c>
      <c r="E16" s="31">
        <f>SUMIFS('LANÇAMENTOS'!$G$6:$G$1005,'LANÇAMENTOS'!$I$6:$I$1005,($A$4*12+11),'LANÇAMENTOS'!$B$6:$B$1005,"SAÍDA",'LANÇAMENTOS'!$C$6:$C$1005,"REALIZADO")</f>
        <v/>
      </c>
      <c r="F16" s="31">
        <f>SUMIFS('LANÇAMENTOS'!$G$6:$G$1005,'LANÇAMENTOS'!$I$6:$I$1005,($A$4*12+11),'LANÇAMENTOS'!$B$6:$B$1005,"SAÍDA",'LANÇAMENTOS'!$C$6:$C$1005,"PROJETADO")</f>
        <v/>
      </c>
      <c r="G16" s="32">
        <f>E16+F16</f>
        <v/>
      </c>
      <c r="H16" s="49">
        <f>SUMPRODUCT((PARCELAS!$C$6:$AL$65=($A$4*12+11))*PARCELAS!$AM$6:$BV$65)</f>
        <v/>
      </c>
      <c r="I16" s="50">
        <f>D16-G16-H16</f>
        <v/>
      </c>
      <c r="J16" s="51">
        <f>J15+I16</f>
        <v/>
      </c>
    </row>
    <row r="17">
      <c r="A17" s="47">
        <f>INDEX(LISTAS!$K$6:$K$17,12)</f>
        <v/>
      </c>
      <c r="B17" s="31">
        <f>SUMIFS('LANÇAMENTOS'!$G$6:$G$1005,'LANÇAMENTOS'!$I$6:$I$1005,($A$4*12+12),'LANÇAMENTOS'!$B$6:$B$1005,"ENTRADA",'LANÇAMENTOS'!$C$6:$C$1005,"REALIZADO")</f>
        <v/>
      </c>
      <c r="C17" s="31">
        <f>SUMIFS('LANÇAMENTOS'!$G$6:$G$1005,'LANÇAMENTOS'!$I$6:$I$1005,($A$4*12+12),'LANÇAMENTOS'!$B$6:$B$1005,"ENTRADA",'LANÇAMENTOS'!$C$6:$C$1005,"PROJETADO")</f>
        <v/>
      </c>
      <c r="D17" s="48">
        <f>B17+C17</f>
        <v/>
      </c>
      <c r="E17" s="31">
        <f>SUMIFS('LANÇAMENTOS'!$G$6:$G$1005,'LANÇAMENTOS'!$I$6:$I$1005,($A$4*12+12),'LANÇAMENTOS'!$B$6:$B$1005,"SAÍDA",'LANÇAMENTOS'!$C$6:$C$1005,"REALIZADO")</f>
        <v/>
      </c>
      <c r="F17" s="31">
        <f>SUMIFS('LANÇAMENTOS'!$G$6:$G$1005,'LANÇAMENTOS'!$I$6:$I$1005,($A$4*12+12),'LANÇAMENTOS'!$B$6:$B$1005,"SAÍDA",'LANÇAMENTOS'!$C$6:$C$1005,"PROJETADO")</f>
        <v/>
      </c>
      <c r="G17" s="32">
        <f>E17+F17</f>
        <v/>
      </c>
      <c r="H17" s="49">
        <f>SUMPRODUCT((PARCELAS!$C$6:$AL$65=($A$4*12+12))*PARCELAS!$AM$6:$BV$65)</f>
        <v/>
      </c>
      <c r="I17" s="50">
        <f>D17-G17-H17</f>
        <v/>
      </c>
      <c r="J17" s="51">
        <f>J16+I17</f>
        <v/>
      </c>
    </row>
    <row r="18">
      <c r="A18" s="34" t="inlineStr">
        <is>
          <t>TOTAL DO ANO</t>
        </is>
      </c>
      <c r="B18" s="50">
        <f>SUM(B6:B17)</f>
        <v/>
      </c>
      <c r="C18" s="50">
        <f>SUM(C6:C17)</f>
        <v/>
      </c>
      <c r="D18" s="50">
        <f>SUM(D6:D17)</f>
        <v/>
      </c>
      <c r="E18" s="50">
        <f>SUM(E6:E17)</f>
        <v/>
      </c>
      <c r="F18" s="50">
        <f>SUM(F6:F17)</f>
        <v/>
      </c>
      <c r="G18" s="50">
        <f>SUM(G6:G17)</f>
        <v/>
      </c>
      <c r="H18" s="50">
        <f>SUM(H6:H17)</f>
        <v/>
      </c>
      <c r="I18" s="50">
        <f>SUM(I6:I17)</f>
        <v/>
      </c>
      <c r="J18" s="50">
        <f>J17</f>
        <v/>
      </c>
    </row>
    <row r="21">
      <c r="A21" s="27" t="inlineStr">
        <is>
          <t>SAÍDAS POR CATEGORIA, MÊS A MÊS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9" t="n"/>
    </row>
    <row r="22" ht="30" customHeight="1">
      <c r="A22" s="15" t="inlineStr">
        <is>
          <t>Categoria</t>
        </is>
      </c>
      <c r="B22" s="15" t="inlineStr">
        <is>
          <t>Jan</t>
        </is>
      </c>
      <c r="C22" s="15" t="inlineStr">
        <is>
          <t>Fev</t>
        </is>
      </c>
      <c r="D22" s="15" t="inlineStr">
        <is>
          <t>Mar</t>
        </is>
      </c>
      <c r="E22" s="15" t="inlineStr">
        <is>
          <t>Abr</t>
        </is>
      </c>
      <c r="F22" s="15" t="inlineStr">
        <is>
          <t>Mai</t>
        </is>
      </c>
      <c r="G22" s="15" t="inlineStr">
        <is>
          <t>Jun</t>
        </is>
      </c>
      <c r="H22" s="15" t="inlineStr">
        <is>
          <t>Jul</t>
        </is>
      </c>
      <c r="I22" s="15" t="inlineStr">
        <is>
          <t>Ago</t>
        </is>
      </c>
      <c r="J22" s="15" t="inlineStr">
        <is>
          <t>Set</t>
        </is>
      </c>
      <c r="K22" s="15" t="inlineStr">
        <is>
          <t>Out</t>
        </is>
      </c>
      <c r="L22" s="15" t="inlineStr">
        <is>
          <t>Nov</t>
        </is>
      </c>
      <c r="M22" s="15" t="inlineStr">
        <is>
          <t>Dez</t>
        </is>
      </c>
      <c r="N22" s="15" t="inlineStr">
        <is>
          <t>Total do ano</t>
        </is>
      </c>
    </row>
    <row r="23">
      <c r="A23" s="18">
        <f>IF(LISTAS!$B6="SAÍDA",LISTAS!$A6,"")</f>
        <v/>
      </c>
      <c r="B23" s="31">
        <f>IF($A23="","",SUMIFS('LANÇAMENTOS'!$G$6:$G$1005,'LANÇAMENTOS'!$I$6:$I$1005,($A$4*12+1),'LANÇAMENTOS'!$B$6:$B$1005,"SAÍDA",'LANÇAMENTOS'!$D$6:$D$1005,$A23))</f>
        <v/>
      </c>
      <c r="C23" s="31">
        <f>IF($A23="","",SUMIFS('LANÇAMENTOS'!$G$6:$G$1005,'LANÇAMENTOS'!$I$6:$I$1005,($A$4*12+2),'LANÇAMENTOS'!$B$6:$B$1005,"SAÍDA",'LANÇAMENTOS'!$D$6:$D$1005,$A23))</f>
        <v/>
      </c>
      <c r="D23" s="31">
        <f>IF($A23="","",SUMIFS('LANÇAMENTOS'!$G$6:$G$1005,'LANÇAMENTOS'!$I$6:$I$1005,($A$4*12+3),'LANÇAMENTOS'!$B$6:$B$1005,"SAÍDA",'LANÇAMENTOS'!$D$6:$D$1005,$A23))</f>
        <v/>
      </c>
      <c r="E23" s="31">
        <f>IF($A23="","",SUMIFS('LANÇAMENTOS'!$G$6:$G$1005,'LANÇAMENTOS'!$I$6:$I$1005,($A$4*12+4),'LANÇAMENTOS'!$B$6:$B$1005,"SAÍDA",'LANÇAMENTOS'!$D$6:$D$1005,$A23))</f>
        <v/>
      </c>
      <c r="F23" s="31">
        <f>IF($A23="","",SUMIFS('LANÇAMENTOS'!$G$6:$G$1005,'LANÇAMENTOS'!$I$6:$I$1005,($A$4*12+5),'LANÇAMENTOS'!$B$6:$B$1005,"SAÍDA",'LANÇAMENTOS'!$D$6:$D$1005,$A23))</f>
        <v/>
      </c>
      <c r="G23" s="31">
        <f>IF($A23="","",SUMIFS('LANÇAMENTOS'!$G$6:$G$1005,'LANÇAMENTOS'!$I$6:$I$1005,($A$4*12+6),'LANÇAMENTOS'!$B$6:$B$1005,"SAÍDA",'LANÇAMENTOS'!$D$6:$D$1005,$A23))</f>
        <v/>
      </c>
      <c r="H23" s="31">
        <f>IF($A23="","",SUMIFS('LANÇAMENTOS'!$G$6:$G$1005,'LANÇAMENTOS'!$I$6:$I$1005,($A$4*12+7),'LANÇAMENTOS'!$B$6:$B$1005,"SAÍDA",'LANÇAMENTOS'!$D$6:$D$1005,$A23))</f>
        <v/>
      </c>
      <c r="I23" s="31">
        <f>IF($A23="","",SUMIFS('LANÇAMENTOS'!$G$6:$G$1005,'LANÇAMENTOS'!$I$6:$I$1005,($A$4*12+8),'LANÇAMENTOS'!$B$6:$B$1005,"SAÍDA",'LANÇAMENTOS'!$D$6:$D$1005,$A23))</f>
        <v/>
      </c>
      <c r="J23" s="31">
        <f>IF($A23="","",SUMIFS('LANÇAMENTOS'!$G$6:$G$1005,'LANÇAMENTOS'!$I$6:$I$1005,($A$4*12+9),'LANÇAMENTOS'!$B$6:$B$1005,"SAÍDA",'LANÇAMENTOS'!$D$6:$D$1005,$A23))</f>
        <v/>
      </c>
      <c r="K23" s="31">
        <f>IF($A23="","",SUMIFS('LANÇAMENTOS'!$G$6:$G$1005,'LANÇAMENTOS'!$I$6:$I$1005,($A$4*12+10),'LANÇAMENTOS'!$B$6:$B$1005,"SAÍDA",'LANÇAMENTOS'!$D$6:$D$1005,$A23))</f>
        <v/>
      </c>
      <c r="L23" s="31">
        <f>IF($A23="","",SUMIFS('LANÇAMENTOS'!$G$6:$G$1005,'LANÇAMENTOS'!$I$6:$I$1005,($A$4*12+11),'LANÇAMENTOS'!$B$6:$B$1005,"SAÍDA",'LANÇAMENTOS'!$D$6:$D$1005,$A23))</f>
        <v/>
      </c>
      <c r="M23" s="31">
        <f>IF($A23="","",SUMIFS('LANÇAMENTOS'!$G$6:$G$1005,'LANÇAMENTOS'!$I$6:$I$1005,($A$4*12+12),'LANÇAMENTOS'!$B$6:$B$1005,"SAÍDA",'LANÇAMENTOS'!$D$6:$D$1005,$A23))</f>
        <v/>
      </c>
      <c r="N23" s="43">
        <f>IF($A23="","",SUM(B23:M23))</f>
        <v/>
      </c>
    </row>
    <row r="24">
      <c r="A24" s="18">
        <f>IF(LISTAS!$B7="SAÍDA",LISTAS!$A7,"")</f>
        <v/>
      </c>
      <c r="B24" s="31">
        <f>IF($A24="","",SUMIFS('LANÇAMENTOS'!$G$6:$G$1005,'LANÇAMENTOS'!$I$6:$I$1005,($A$4*12+1),'LANÇAMENTOS'!$B$6:$B$1005,"SAÍDA",'LANÇAMENTOS'!$D$6:$D$1005,$A24))</f>
        <v/>
      </c>
      <c r="C24" s="31">
        <f>IF($A24="","",SUMIFS('LANÇAMENTOS'!$G$6:$G$1005,'LANÇAMENTOS'!$I$6:$I$1005,($A$4*12+2),'LANÇAMENTOS'!$B$6:$B$1005,"SAÍDA",'LANÇAMENTOS'!$D$6:$D$1005,$A24))</f>
        <v/>
      </c>
      <c r="D24" s="31">
        <f>IF($A24="","",SUMIFS('LANÇAMENTOS'!$G$6:$G$1005,'LANÇAMENTOS'!$I$6:$I$1005,($A$4*12+3),'LANÇAMENTOS'!$B$6:$B$1005,"SAÍDA",'LANÇAMENTOS'!$D$6:$D$1005,$A24))</f>
        <v/>
      </c>
      <c r="E24" s="31">
        <f>IF($A24="","",SUMIFS('LANÇAMENTOS'!$G$6:$G$1005,'LANÇAMENTOS'!$I$6:$I$1005,($A$4*12+4),'LANÇAMENTOS'!$B$6:$B$1005,"SAÍDA",'LANÇAMENTOS'!$D$6:$D$1005,$A24))</f>
        <v/>
      </c>
      <c r="F24" s="31">
        <f>IF($A24="","",SUMIFS('LANÇAMENTOS'!$G$6:$G$1005,'LANÇAMENTOS'!$I$6:$I$1005,($A$4*12+5),'LANÇAMENTOS'!$B$6:$B$1005,"SAÍDA",'LANÇAMENTOS'!$D$6:$D$1005,$A24))</f>
        <v/>
      </c>
      <c r="G24" s="31">
        <f>IF($A24="","",SUMIFS('LANÇAMENTOS'!$G$6:$G$1005,'LANÇAMENTOS'!$I$6:$I$1005,($A$4*12+6),'LANÇAMENTOS'!$B$6:$B$1005,"SAÍDA",'LANÇAMENTOS'!$D$6:$D$1005,$A24))</f>
        <v/>
      </c>
      <c r="H24" s="31">
        <f>IF($A24="","",SUMIFS('LANÇAMENTOS'!$G$6:$G$1005,'LANÇAMENTOS'!$I$6:$I$1005,($A$4*12+7),'LANÇAMENTOS'!$B$6:$B$1005,"SAÍDA",'LANÇAMENTOS'!$D$6:$D$1005,$A24))</f>
        <v/>
      </c>
      <c r="I24" s="31">
        <f>IF($A24="","",SUMIFS('LANÇAMENTOS'!$G$6:$G$1005,'LANÇAMENTOS'!$I$6:$I$1005,($A$4*12+8),'LANÇAMENTOS'!$B$6:$B$1005,"SAÍDA",'LANÇAMENTOS'!$D$6:$D$1005,$A24))</f>
        <v/>
      </c>
      <c r="J24" s="31">
        <f>IF($A24="","",SUMIFS('LANÇAMENTOS'!$G$6:$G$1005,'LANÇAMENTOS'!$I$6:$I$1005,($A$4*12+9),'LANÇAMENTOS'!$B$6:$B$1005,"SAÍDA",'LANÇAMENTOS'!$D$6:$D$1005,$A24))</f>
        <v/>
      </c>
      <c r="K24" s="31">
        <f>IF($A24="","",SUMIFS('LANÇAMENTOS'!$G$6:$G$1005,'LANÇAMENTOS'!$I$6:$I$1005,($A$4*12+10),'LANÇAMENTOS'!$B$6:$B$1005,"SAÍDA",'LANÇAMENTOS'!$D$6:$D$1005,$A24))</f>
        <v/>
      </c>
      <c r="L24" s="31">
        <f>IF($A24="","",SUMIFS('LANÇAMENTOS'!$G$6:$G$1005,'LANÇAMENTOS'!$I$6:$I$1005,($A$4*12+11),'LANÇAMENTOS'!$B$6:$B$1005,"SAÍDA",'LANÇAMENTOS'!$D$6:$D$1005,$A24))</f>
        <v/>
      </c>
      <c r="M24" s="31">
        <f>IF($A24="","",SUMIFS('LANÇAMENTOS'!$G$6:$G$1005,'LANÇAMENTOS'!$I$6:$I$1005,($A$4*12+12),'LANÇAMENTOS'!$B$6:$B$1005,"SAÍDA",'LANÇAMENTOS'!$D$6:$D$1005,$A24))</f>
        <v/>
      </c>
      <c r="N24" s="43">
        <f>IF($A24="","",SUM(B24:M24))</f>
        <v/>
      </c>
    </row>
    <row r="25">
      <c r="A25" s="18">
        <f>IF(LISTAS!$B8="SAÍDA",LISTAS!$A8,"")</f>
        <v/>
      </c>
      <c r="B25" s="31">
        <f>IF($A25="","",SUMIFS('LANÇAMENTOS'!$G$6:$G$1005,'LANÇAMENTOS'!$I$6:$I$1005,($A$4*12+1),'LANÇAMENTOS'!$B$6:$B$1005,"SAÍDA",'LANÇAMENTOS'!$D$6:$D$1005,$A25))</f>
        <v/>
      </c>
      <c r="C25" s="31">
        <f>IF($A25="","",SUMIFS('LANÇAMENTOS'!$G$6:$G$1005,'LANÇAMENTOS'!$I$6:$I$1005,($A$4*12+2),'LANÇAMENTOS'!$B$6:$B$1005,"SAÍDA",'LANÇAMENTOS'!$D$6:$D$1005,$A25))</f>
        <v/>
      </c>
      <c r="D25" s="31">
        <f>IF($A25="","",SUMIFS('LANÇAMENTOS'!$G$6:$G$1005,'LANÇAMENTOS'!$I$6:$I$1005,($A$4*12+3),'LANÇAMENTOS'!$B$6:$B$1005,"SAÍDA",'LANÇAMENTOS'!$D$6:$D$1005,$A25))</f>
        <v/>
      </c>
      <c r="E25" s="31">
        <f>IF($A25="","",SUMIFS('LANÇAMENTOS'!$G$6:$G$1005,'LANÇAMENTOS'!$I$6:$I$1005,($A$4*12+4),'LANÇAMENTOS'!$B$6:$B$1005,"SAÍDA",'LANÇAMENTOS'!$D$6:$D$1005,$A25))</f>
        <v/>
      </c>
      <c r="F25" s="31">
        <f>IF($A25="","",SUMIFS('LANÇAMENTOS'!$G$6:$G$1005,'LANÇAMENTOS'!$I$6:$I$1005,($A$4*12+5),'LANÇAMENTOS'!$B$6:$B$1005,"SAÍDA",'LANÇAMENTOS'!$D$6:$D$1005,$A25))</f>
        <v/>
      </c>
      <c r="G25" s="31">
        <f>IF($A25="","",SUMIFS('LANÇAMENTOS'!$G$6:$G$1005,'LANÇAMENTOS'!$I$6:$I$1005,($A$4*12+6),'LANÇAMENTOS'!$B$6:$B$1005,"SAÍDA",'LANÇAMENTOS'!$D$6:$D$1005,$A25))</f>
        <v/>
      </c>
      <c r="H25" s="31">
        <f>IF($A25="","",SUMIFS('LANÇAMENTOS'!$G$6:$G$1005,'LANÇAMENTOS'!$I$6:$I$1005,($A$4*12+7),'LANÇAMENTOS'!$B$6:$B$1005,"SAÍDA",'LANÇAMENTOS'!$D$6:$D$1005,$A25))</f>
        <v/>
      </c>
      <c r="I25" s="31">
        <f>IF($A25="","",SUMIFS('LANÇAMENTOS'!$G$6:$G$1005,'LANÇAMENTOS'!$I$6:$I$1005,($A$4*12+8),'LANÇAMENTOS'!$B$6:$B$1005,"SAÍDA",'LANÇAMENTOS'!$D$6:$D$1005,$A25))</f>
        <v/>
      </c>
      <c r="J25" s="31">
        <f>IF($A25="","",SUMIFS('LANÇAMENTOS'!$G$6:$G$1005,'LANÇAMENTOS'!$I$6:$I$1005,($A$4*12+9),'LANÇAMENTOS'!$B$6:$B$1005,"SAÍDA",'LANÇAMENTOS'!$D$6:$D$1005,$A25))</f>
        <v/>
      </c>
      <c r="K25" s="31">
        <f>IF($A25="","",SUMIFS('LANÇAMENTOS'!$G$6:$G$1005,'LANÇAMENTOS'!$I$6:$I$1005,($A$4*12+10),'LANÇAMENTOS'!$B$6:$B$1005,"SAÍDA",'LANÇAMENTOS'!$D$6:$D$1005,$A25))</f>
        <v/>
      </c>
      <c r="L25" s="31">
        <f>IF($A25="","",SUMIFS('LANÇAMENTOS'!$G$6:$G$1005,'LANÇAMENTOS'!$I$6:$I$1005,($A$4*12+11),'LANÇAMENTOS'!$B$6:$B$1005,"SAÍDA",'LANÇAMENTOS'!$D$6:$D$1005,$A25))</f>
        <v/>
      </c>
      <c r="M25" s="31">
        <f>IF($A25="","",SUMIFS('LANÇAMENTOS'!$G$6:$G$1005,'LANÇAMENTOS'!$I$6:$I$1005,($A$4*12+12),'LANÇAMENTOS'!$B$6:$B$1005,"SAÍDA",'LANÇAMENTOS'!$D$6:$D$1005,$A25))</f>
        <v/>
      </c>
      <c r="N25" s="43">
        <f>IF($A25="","",SUM(B25:M25))</f>
        <v/>
      </c>
    </row>
    <row r="26">
      <c r="A26" s="18">
        <f>IF(LISTAS!$B9="SAÍDA",LISTAS!$A9,"")</f>
        <v/>
      </c>
      <c r="B26" s="31">
        <f>IF($A26="","",SUMIFS('LANÇAMENTOS'!$G$6:$G$1005,'LANÇAMENTOS'!$I$6:$I$1005,($A$4*12+1),'LANÇAMENTOS'!$B$6:$B$1005,"SAÍDA",'LANÇAMENTOS'!$D$6:$D$1005,$A26))</f>
        <v/>
      </c>
      <c r="C26" s="31">
        <f>IF($A26="","",SUMIFS('LANÇAMENTOS'!$G$6:$G$1005,'LANÇAMENTOS'!$I$6:$I$1005,($A$4*12+2),'LANÇAMENTOS'!$B$6:$B$1005,"SAÍDA",'LANÇAMENTOS'!$D$6:$D$1005,$A26))</f>
        <v/>
      </c>
      <c r="D26" s="31">
        <f>IF($A26="","",SUMIFS('LANÇAMENTOS'!$G$6:$G$1005,'LANÇAMENTOS'!$I$6:$I$1005,($A$4*12+3),'LANÇAMENTOS'!$B$6:$B$1005,"SAÍDA",'LANÇAMENTOS'!$D$6:$D$1005,$A26))</f>
        <v/>
      </c>
      <c r="E26" s="31">
        <f>IF($A26="","",SUMIFS('LANÇAMENTOS'!$G$6:$G$1005,'LANÇAMENTOS'!$I$6:$I$1005,($A$4*12+4),'LANÇAMENTOS'!$B$6:$B$1005,"SAÍDA",'LANÇAMENTOS'!$D$6:$D$1005,$A26))</f>
        <v/>
      </c>
      <c r="F26" s="31">
        <f>IF($A26="","",SUMIFS('LANÇAMENTOS'!$G$6:$G$1005,'LANÇAMENTOS'!$I$6:$I$1005,($A$4*12+5),'LANÇAMENTOS'!$B$6:$B$1005,"SAÍDA",'LANÇAMENTOS'!$D$6:$D$1005,$A26))</f>
        <v/>
      </c>
      <c r="G26" s="31">
        <f>IF($A26="","",SUMIFS('LANÇAMENTOS'!$G$6:$G$1005,'LANÇAMENTOS'!$I$6:$I$1005,($A$4*12+6),'LANÇAMENTOS'!$B$6:$B$1005,"SAÍDA",'LANÇAMENTOS'!$D$6:$D$1005,$A26))</f>
        <v/>
      </c>
      <c r="H26" s="31">
        <f>IF($A26="","",SUMIFS('LANÇAMENTOS'!$G$6:$G$1005,'LANÇAMENTOS'!$I$6:$I$1005,($A$4*12+7),'LANÇAMENTOS'!$B$6:$B$1005,"SAÍDA",'LANÇAMENTOS'!$D$6:$D$1005,$A26))</f>
        <v/>
      </c>
      <c r="I26" s="31">
        <f>IF($A26="","",SUMIFS('LANÇAMENTOS'!$G$6:$G$1005,'LANÇAMENTOS'!$I$6:$I$1005,($A$4*12+8),'LANÇAMENTOS'!$B$6:$B$1005,"SAÍDA",'LANÇAMENTOS'!$D$6:$D$1005,$A26))</f>
        <v/>
      </c>
      <c r="J26" s="31">
        <f>IF($A26="","",SUMIFS('LANÇAMENTOS'!$G$6:$G$1005,'LANÇAMENTOS'!$I$6:$I$1005,($A$4*12+9),'LANÇAMENTOS'!$B$6:$B$1005,"SAÍDA",'LANÇAMENTOS'!$D$6:$D$1005,$A26))</f>
        <v/>
      </c>
      <c r="K26" s="31">
        <f>IF($A26="","",SUMIFS('LANÇAMENTOS'!$G$6:$G$1005,'LANÇAMENTOS'!$I$6:$I$1005,($A$4*12+10),'LANÇAMENTOS'!$B$6:$B$1005,"SAÍDA",'LANÇAMENTOS'!$D$6:$D$1005,$A26))</f>
        <v/>
      </c>
      <c r="L26" s="31">
        <f>IF($A26="","",SUMIFS('LANÇAMENTOS'!$G$6:$G$1005,'LANÇAMENTOS'!$I$6:$I$1005,($A$4*12+11),'LANÇAMENTOS'!$B$6:$B$1005,"SAÍDA",'LANÇAMENTOS'!$D$6:$D$1005,$A26))</f>
        <v/>
      </c>
      <c r="M26" s="31">
        <f>IF($A26="","",SUMIFS('LANÇAMENTOS'!$G$6:$G$1005,'LANÇAMENTOS'!$I$6:$I$1005,($A$4*12+12),'LANÇAMENTOS'!$B$6:$B$1005,"SAÍDA",'LANÇAMENTOS'!$D$6:$D$1005,$A26))</f>
        <v/>
      </c>
      <c r="N26" s="43">
        <f>IF($A26="","",SUM(B26:M26))</f>
        <v/>
      </c>
    </row>
    <row r="27">
      <c r="A27" s="18">
        <f>IF(LISTAS!$B10="SAÍDA",LISTAS!$A10,"")</f>
        <v/>
      </c>
      <c r="B27" s="31">
        <f>IF($A27="","",SUMIFS('LANÇAMENTOS'!$G$6:$G$1005,'LANÇAMENTOS'!$I$6:$I$1005,($A$4*12+1),'LANÇAMENTOS'!$B$6:$B$1005,"SAÍDA",'LANÇAMENTOS'!$D$6:$D$1005,$A27))</f>
        <v/>
      </c>
      <c r="C27" s="31">
        <f>IF($A27="","",SUMIFS('LANÇAMENTOS'!$G$6:$G$1005,'LANÇAMENTOS'!$I$6:$I$1005,($A$4*12+2),'LANÇAMENTOS'!$B$6:$B$1005,"SAÍDA",'LANÇAMENTOS'!$D$6:$D$1005,$A27))</f>
        <v/>
      </c>
      <c r="D27" s="31">
        <f>IF($A27="","",SUMIFS('LANÇAMENTOS'!$G$6:$G$1005,'LANÇAMENTOS'!$I$6:$I$1005,($A$4*12+3),'LANÇAMENTOS'!$B$6:$B$1005,"SAÍDA",'LANÇAMENTOS'!$D$6:$D$1005,$A27))</f>
        <v/>
      </c>
      <c r="E27" s="31">
        <f>IF($A27="","",SUMIFS('LANÇAMENTOS'!$G$6:$G$1005,'LANÇAMENTOS'!$I$6:$I$1005,($A$4*12+4),'LANÇAMENTOS'!$B$6:$B$1005,"SAÍDA",'LANÇAMENTOS'!$D$6:$D$1005,$A27))</f>
        <v/>
      </c>
      <c r="F27" s="31">
        <f>IF($A27="","",SUMIFS('LANÇAMENTOS'!$G$6:$G$1005,'LANÇAMENTOS'!$I$6:$I$1005,($A$4*12+5),'LANÇAMENTOS'!$B$6:$B$1005,"SAÍDA",'LANÇAMENTOS'!$D$6:$D$1005,$A27))</f>
        <v/>
      </c>
      <c r="G27" s="31">
        <f>IF($A27="","",SUMIFS('LANÇAMENTOS'!$G$6:$G$1005,'LANÇAMENTOS'!$I$6:$I$1005,($A$4*12+6),'LANÇAMENTOS'!$B$6:$B$1005,"SAÍDA",'LANÇAMENTOS'!$D$6:$D$1005,$A27))</f>
        <v/>
      </c>
      <c r="H27" s="31">
        <f>IF($A27="","",SUMIFS('LANÇAMENTOS'!$G$6:$G$1005,'LANÇAMENTOS'!$I$6:$I$1005,($A$4*12+7),'LANÇAMENTOS'!$B$6:$B$1005,"SAÍDA",'LANÇAMENTOS'!$D$6:$D$1005,$A27))</f>
        <v/>
      </c>
      <c r="I27" s="31">
        <f>IF($A27="","",SUMIFS('LANÇAMENTOS'!$G$6:$G$1005,'LANÇAMENTOS'!$I$6:$I$1005,($A$4*12+8),'LANÇAMENTOS'!$B$6:$B$1005,"SAÍDA",'LANÇAMENTOS'!$D$6:$D$1005,$A27))</f>
        <v/>
      </c>
      <c r="J27" s="31">
        <f>IF($A27="","",SUMIFS('LANÇAMENTOS'!$G$6:$G$1005,'LANÇAMENTOS'!$I$6:$I$1005,($A$4*12+9),'LANÇAMENTOS'!$B$6:$B$1005,"SAÍDA",'LANÇAMENTOS'!$D$6:$D$1005,$A27))</f>
        <v/>
      </c>
      <c r="K27" s="31">
        <f>IF($A27="","",SUMIFS('LANÇAMENTOS'!$G$6:$G$1005,'LANÇAMENTOS'!$I$6:$I$1005,($A$4*12+10),'LANÇAMENTOS'!$B$6:$B$1005,"SAÍDA",'LANÇAMENTOS'!$D$6:$D$1005,$A27))</f>
        <v/>
      </c>
      <c r="L27" s="31">
        <f>IF($A27="","",SUMIFS('LANÇAMENTOS'!$G$6:$G$1005,'LANÇAMENTOS'!$I$6:$I$1005,($A$4*12+11),'LANÇAMENTOS'!$B$6:$B$1005,"SAÍDA",'LANÇAMENTOS'!$D$6:$D$1005,$A27))</f>
        <v/>
      </c>
      <c r="M27" s="31">
        <f>IF($A27="","",SUMIFS('LANÇAMENTOS'!$G$6:$G$1005,'LANÇAMENTOS'!$I$6:$I$1005,($A$4*12+12),'LANÇAMENTOS'!$B$6:$B$1005,"SAÍDA",'LANÇAMENTOS'!$D$6:$D$1005,$A27))</f>
        <v/>
      </c>
      <c r="N27" s="43">
        <f>IF($A27="","",SUM(B27:M27))</f>
        <v/>
      </c>
    </row>
    <row r="28">
      <c r="A28" s="18">
        <f>IF(LISTAS!$B11="SAÍDA",LISTAS!$A11,"")</f>
        <v/>
      </c>
      <c r="B28" s="31">
        <f>IF($A28="","",SUMIFS('LANÇAMENTOS'!$G$6:$G$1005,'LANÇAMENTOS'!$I$6:$I$1005,($A$4*12+1),'LANÇAMENTOS'!$B$6:$B$1005,"SAÍDA",'LANÇAMENTOS'!$D$6:$D$1005,$A28))</f>
        <v/>
      </c>
      <c r="C28" s="31">
        <f>IF($A28="","",SUMIFS('LANÇAMENTOS'!$G$6:$G$1005,'LANÇAMENTOS'!$I$6:$I$1005,($A$4*12+2),'LANÇAMENTOS'!$B$6:$B$1005,"SAÍDA",'LANÇAMENTOS'!$D$6:$D$1005,$A28))</f>
        <v/>
      </c>
      <c r="D28" s="31">
        <f>IF($A28="","",SUMIFS('LANÇAMENTOS'!$G$6:$G$1005,'LANÇAMENTOS'!$I$6:$I$1005,($A$4*12+3),'LANÇAMENTOS'!$B$6:$B$1005,"SAÍDA",'LANÇAMENTOS'!$D$6:$D$1005,$A28))</f>
        <v/>
      </c>
      <c r="E28" s="31">
        <f>IF($A28="","",SUMIFS('LANÇAMENTOS'!$G$6:$G$1005,'LANÇAMENTOS'!$I$6:$I$1005,($A$4*12+4),'LANÇAMENTOS'!$B$6:$B$1005,"SAÍDA",'LANÇAMENTOS'!$D$6:$D$1005,$A28))</f>
        <v/>
      </c>
      <c r="F28" s="31">
        <f>IF($A28="","",SUMIFS('LANÇAMENTOS'!$G$6:$G$1005,'LANÇAMENTOS'!$I$6:$I$1005,($A$4*12+5),'LANÇAMENTOS'!$B$6:$B$1005,"SAÍDA",'LANÇAMENTOS'!$D$6:$D$1005,$A28))</f>
        <v/>
      </c>
      <c r="G28" s="31">
        <f>IF($A28="","",SUMIFS('LANÇAMENTOS'!$G$6:$G$1005,'LANÇAMENTOS'!$I$6:$I$1005,($A$4*12+6),'LANÇAMENTOS'!$B$6:$B$1005,"SAÍDA",'LANÇAMENTOS'!$D$6:$D$1005,$A28))</f>
        <v/>
      </c>
      <c r="H28" s="31">
        <f>IF($A28="","",SUMIFS('LANÇAMENTOS'!$G$6:$G$1005,'LANÇAMENTOS'!$I$6:$I$1005,($A$4*12+7),'LANÇAMENTOS'!$B$6:$B$1005,"SAÍDA",'LANÇAMENTOS'!$D$6:$D$1005,$A28))</f>
        <v/>
      </c>
      <c r="I28" s="31">
        <f>IF($A28="","",SUMIFS('LANÇAMENTOS'!$G$6:$G$1005,'LANÇAMENTOS'!$I$6:$I$1005,($A$4*12+8),'LANÇAMENTOS'!$B$6:$B$1005,"SAÍDA",'LANÇAMENTOS'!$D$6:$D$1005,$A28))</f>
        <v/>
      </c>
      <c r="J28" s="31">
        <f>IF($A28="","",SUMIFS('LANÇAMENTOS'!$G$6:$G$1005,'LANÇAMENTOS'!$I$6:$I$1005,($A$4*12+9),'LANÇAMENTOS'!$B$6:$B$1005,"SAÍDA",'LANÇAMENTOS'!$D$6:$D$1005,$A28))</f>
        <v/>
      </c>
      <c r="K28" s="31">
        <f>IF($A28="","",SUMIFS('LANÇAMENTOS'!$G$6:$G$1005,'LANÇAMENTOS'!$I$6:$I$1005,($A$4*12+10),'LANÇAMENTOS'!$B$6:$B$1005,"SAÍDA",'LANÇAMENTOS'!$D$6:$D$1005,$A28))</f>
        <v/>
      </c>
      <c r="L28" s="31">
        <f>IF($A28="","",SUMIFS('LANÇAMENTOS'!$G$6:$G$1005,'LANÇAMENTOS'!$I$6:$I$1005,($A$4*12+11),'LANÇAMENTOS'!$B$6:$B$1005,"SAÍDA",'LANÇAMENTOS'!$D$6:$D$1005,$A28))</f>
        <v/>
      </c>
      <c r="M28" s="31">
        <f>IF($A28="","",SUMIFS('LANÇAMENTOS'!$G$6:$G$1005,'LANÇAMENTOS'!$I$6:$I$1005,($A$4*12+12),'LANÇAMENTOS'!$B$6:$B$1005,"SAÍDA",'LANÇAMENTOS'!$D$6:$D$1005,$A28))</f>
        <v/>
      </c>
      <c r="N28" s="43">
        <f>IF($A28="","",SUM(B28:M28))</f>
        <v/>
      </c>
    </row>
    <row r="29">
      <c r="A29" s="18">
        <f>IF(LISTAS!$B12="SAÍDA",LISTAS!$A12,"")</f>
        <v/>
      </c>
      <c r="B29" s="31">
        <f>IF($A29="","",SUMIFS('LANÇAMENTOS'!$G$6:$G$1005,'LANÇAMENTOS'!$I$6:$I$1005,($A$4*12+1),'LANÇAMENTOS'!$B$6:$B$1005,"SAÍDA",'LANÇAMENTOS'!$D$6:$D$1005,$A29))</f>
        <v/>
      </c>
      <c r="C29" s="31">
        <f>IF($A29="","",SUMIFS('LANÇAMENTOS'!$G$6:$G$1005,'LANÇAMENTOS'!$I$6:$I$1005,($A$4*12+2),'LANÇAMENTOS'!$B$6:$B$1005,"SAÍDA",'LANÇAMENTOS'!$D$6:$D$1005,$A29))</f>
        <v/>
      </c>
      <c r="D29" s="31">
        <f>IF($A29="","",SUMIFS('LANÇAMENTOS'!$G$6:$G$1005,'LANÇAMENTOS'!$I$6:$I$1005,($A$4*12+3),'LANÇAMENTOS'!$B$6:$B$1005,"SAÍDA",'LANÇAMENTOS'!$D$6:$D$1005,$A29))</f>
        <v/>
      </c>
      <c r="E29" s="31">
        <f>IF($A29="","",SUMIFS('LANÇAMENTOS'!$G$6:$G$1005,'LANÇAMENTOS'!$I$6:$I$1005,($A$4*12+4),'LANÇAMENTOS'!$B$6:$B$1005,"SAÍDA",'LANÇAMENTOS'!$D$6:$D$1005,$A29))</f>
        <v/>
      </c>
      <c r="F29" s="31">
        <f>IF($A29="","",SUMIFS('LANÇAMENTOS'!$G$6:$G$1005,'LANÇAMENTOS'!$I$6:$I$1005,($A$4*12+5),'LANÇAMENTOS'!$B$6:$B$1005,"SAÍDA",'LANÇAMENTOS'!$D$6:$D$1005,$A29))</f>
        <v/>
      </c>
      <c r="G29" s="31">
        <f>IF($A29="","",SUMIFS('LANÇAMENTOS'!$G$6:$G$1005,'LANÇAMENTOS'!$I$6:$I$1005,($A$4*12+6),'LANÇAMENTOS'!$B$6:$B$1005,"SAÍDA",'LANÇAMENTOS'!$D$6:$D$1005,$A29))</f>
        <v/>
      </c>
      <c r="H29" s="31">
        <f>IF($A29="","",SUMIFS('LANÇAMENTOS'!$G$6:$G$1005,'LANÇAMENTOS'!$I$6:$I$1005,($A$4*12+7),'LANÇAMENTOS'!$B$6:$B$1005,"SAÍDA",'LANÇAMENTOS'!$D$6:$D$1005,$A29))</f>
        <v/>
      </c>
      <c r="I29" s="31">
        <f>IF($A29="","",SUMIFS('LANÇAMENTOS'!$G$6:$G$1005,'LANÇAMENTOS'!$I$6:$I$1005,($A$4*12+8),'LANÇAMENTOS'!$B$6:$B$1005,"SAÍDA",'LANÇAMENTOS'!$D$6:$D$1005,$A29))</f>
        <v/>
      </c>
      <c r="J29" s="31">
        <f>IF($A29="","",SUMIFS('LANÇAMENTOS'!$G$6:$G$1005,'LANÇAMENTOS'!$I$6:$I$1005,($A$4*12+9),'LANÇAMENTOS'!$B$6:$B$1005,"SAÍDA",'LANÇAMENTOS'!$D$6:$D$1005,$A29))</f>
        <v/>
      </c>
      <c r="K29" s="31">
        <f>IF($A29="","",SUMIFS('LANÇAMENTOS'!$G$6:$G$1005,'LANÇAMENTOS'!$I$6:$I$1005,($A$4*12+10),'LANÇAMENTOS'!$B$6:$B$1005,"SAÍDA",'LANÇAMENTOS'!$D$6:$D$1005,$A29))</f>
        <v/>
      </c>
      <c r="L29" s="31">
        <f>IF($A29="","",SUMIFS('LANÇAMENTOS'!$G$6:$G$1005,'LANÇAMENTOS'!$I$6:$I$1005,($A$4*12+11),'LANÇAMENTOS'!$B$6:$B$1005,"SAÍDA",'LANÇAMENTOS'!$D$6:$D$1005,$A29))</f>
        <v/>
      </c>
      <c r="M29" s="31">
        <f>IF($A29="","",SUMIFS('LANÇAMENTOS'!$G$6:$G$1005,'LANÇAMENTOS'!$I$6:$I$1005,($A$4*12+12),'LANÇAMENTOS'!$B$6:$B$1005,"SAÍDA",'LANÇAMENTOS'!$D$6:$D$1005,$A29))</f>
        <v/>
      </c>
      <c r="N29" s="43">
        <f>IF($A29="","",SUM(B29:M29))</f>
        <v/>
      </c>
    </row>
    <row r="30">
      <c r="A30" s="18">
        <f>IF(LISTAS!$B13="SAÍDA",LISTAS!$A13,"")</f>
        <v/>
      </c>
      <c r="B30" s="31">
        <f>IF($A30="","",SUMIFS('LANÇAMENTOS'!$G$6:$G$1005,'LANÇAMENTOS'!$I$6:$I$1005,($A$4*12+1),'LANÇAMENTOS'!$B$6:$B$1005,"SAÍDA",'LANÇAMENTOS'!$D$6:$D$1005,$A30))</f>
        <v/>
      </c>
      <c r="C30" s="31">
        <f>IF($A30="","",SUMIFS('LANÇAMENTOS'!$G$6:$G$1005,'LANÇAMENTOS'!$I$6:$I$1005,($A$4*12+2),'LANÇAMENTOS'!$B$6:$B$1005,"SAÍDA",'LANÇAMENTOS'!$D$6:$D$1005,$A30))</f>
        <v/>
      </c>
      <c r="D30" s="31">
        <f>IF($A30="","",SUMIFS('LANÇAMENTOS'!$G$6:$G$1005,'LANÇAMENTOS'!$I$6:$I$1005,($A$4*12+3),'LANÇAMENTOS'!$B$6:$B$1005,"SAÍDA",'LANÇAMENTOS'!$D$6:$D$1005,$A30))</f>
        <v/>
      </c>
      <c r="E30" s="31">
        <f>IF($A30="","",SUMIFS('LANÇAMENTOS'!$G$6:$G$1005,'LANÇAMENTOS'!$I$6:$I$1005,($A$4*12+4),'LANÇAMENTOS'!$B$6:$B$1005,"SAÍDA",'LANÇAMENTOS'!$D$6:$D$1005,$A30))</f>
        <v/>
      </c>
      <c r="F30" s="31">
        <f>IF($A30="","",SUMIFS('LANÇAMENTOS'!$G$6:$G$1005,'LANÇAMENTOS'!$I$6:$I$1005,($A$4*12+5),'LANÇAMENTOS'!$B$6:$B$1005,"SAÍDA",'LANÇAMENTOS'!$D$6:$D$1005,$A30))</f>
        <v/>
      </c>
      <c r="G30" s="31">
        <f>IF($A30="","",SUMIFS('LANÇAMENTOS'!$G$6:$G$1005,'LANÇAMENTOS'!$I$6:$I$1005,($A$4*12+6),'LANÇAMENTOS'!$B$6:$B$1005,"SAÍDA",'LANÇAMENTOS'!$D$6:$D$1005,$A30))</f>
        <v/>
      </c>
      <c r="H30" s="31">
        <f>IF($A30="","",SUMIFS('LANÇAMENTOS'!$G$6:$G$1005,'LANÇAMENTOS'!$I$6:$I$1005,($A$4*12+7),'LANÇAMENTOS'!$B$6:$B$1005,"SAÍDA",'LANÇAMENTOS'!$D$6:$D$1005,$A30))</f>
        <v/>
      </c>
      <c r="I30" s="31">
        <f>IF($A30="","",SUMIFS('LANÇAMENTOS'!$G$6:$G$1005,'LANÇAMENTOS'!$I$6:$I$1005,($A$4*12+8),'LANÇAMENTOS'!$B$6:$B$1005,"SAÍDA",'LANÇAMENTOS'!$D$6:$D$1005,$A30))</f>
        <v/>
      </c>
      <c r="J30" s="31">
        <f>IF($A30="","",SUMIFS('LANÇAMENTOS'!$G$6:$G$1005,'LANÇAMENTOS'!$I$6:$I$1005,($A$4*12+9),'LANÇAMENTOS'!$B$6:$B$1005,"SAÍDA",'LANÇAMENTOS'!$D$6:$D$1005,$A30))</f>
        <v/>
      </c>
      <c r="K30" s="31">
        <f>IF($A30="","",SUMIFS('LANÇAMENTOS'!$G$6:$G$1005,'LANÇAMENTOS'!$I$6:$I$1005,($A$4*12+10),'LANÇAMENTOS'!$B$6:$B$1005,"SAÍDA",'LANÇAMENTOS'!$D$6:$D$1005,$A30))</f>
        <v/>
      </c>
      <c r="L30" s="31">
        <f>IF($A30="","",SUMIFS('LANÇAMENTOS'!$G$6:$G$1005,'LANÇAMENTOS'!$I$6:$I$1005,($A$4*12+11),'LANÇAMENTOS'!$B$6:$B$1005,"SAÍDA",'LANÇAMENTOS'!$D$6:$D$1005,$A30))</f>
        <v/>
      </c>
      <c r="M30" s="31">
        <f>IF($A30="","",SUMIFS('LANÇAMENTOS'!$G$6:$G$1005,'LANÇAMENTOS'!$I$6:$I$1005,($A$4*12+12),'LANÇAMENTOS'!$B$6:$B$1005,"SAÍDA",'LANÇAMENTOS'!$D$6:$D$1005,$A30))</f>
        <v/>
      </c>
      <c r="N30" s="43">
        <f>IF($A30="","",SUM(B30:M30))</f>
        <v/>
      </c>
    </row>
    <row r="31">
      <c r="A31" s="18">
        <f>IF(LISTAS!$B14="SAÍDA",LISTAS!$A14,"")</f>
        <v/>
      </c>
      <c r="B31" s="31">
        <f>IF($A31="","",SUMIFS('LANÇAMENTOS'!$G$6:$G$1005,'LANÇAMENTOS'!$I$6:$I$1005,($A$4*12+1),'LANÇAMENTOS'!$B$6:$B$1005,"SAÍDA",'LANÇAMENTOS'!$D$6:$D$1005,$A31))</f>
        <v/>
      </c>
      <c r="C31" s="31">
        <f>IF($A31="","",SUMIFS('LANÇAMENTOS'!$G$6:$G$1005,'LANÇAMENTOS'!$I$6:$I$1005,($A$4*12+2),'LANÇAMENTOS'!$B$6:$B$1005,"SAÍDA",'LANÇAMENTOS'!$D$6:$D$1005,$A31))</f>
        <v/>
      </c>
      <c r="D31" s="31">
        <f>IF($A31="","",SUMIFS('LANÇAMENTOS'!$G$6:$G$1005,'LANÇAMENTOS'!$I$6:$I$1005,($A$4*12+3),'LANÇAMENTOS'!$B$6:$B$1005,"SAÍDA",'LANÇAMENTOS'!$D$6:$D$1005,$A31))</f>
        <v/>
      </c>
      <c r="E31" s="31">
        <f>IF($A31="","",SUMIFS('LANÇAMENTOS'!$G$6:$G$1005,'LANÇAMENTOS'!$I$6:$I$1005,($A$4*12+4),'LANÇAMENTOS'!$B$6:$B$1005,"SAÍDA",'LANÇAMENTOS'!$D$6:$D$1005,$A31))</f>
        <v/>
      </c>
      <c r="F31" s="31">
        <f>IF($A31="","",SUMIFS('LANÇAMENTOS'!$G$6:$G$1005,'LANÇAMENTOS'!$I$6:$I$1005,($A$4*12+5),'LANÇAMENTOS'!$B$6:$B$1005,"SAÍDA",'LANÇAMENTOS'!$D$6:$D$1005,$A31))</f>
        <v/>
      </c>
      <c r="G31" s="31">
        <f>IF($A31="","",SUMIFS('LANÇAMENTOS'!$G$6:$G$1005,'LANÇAMENTOS'!$I$6:$I$1005,($A$4*12+6),'LANÇAMENTOS'!$B$6:$B$1005,"SAÍDA",'LANÇAMENTOS'!$D$6:$D$1005,$A31))</f>
        <v/>
      </c>
      <c r="H31" s="31">
        <f>IF($A31="","",SUMIFS('LANÇAMENTOS'!$G$6:$G$1005,'LANÇAMENTOS'!$I$6:$I$1005,($A$4*12+7),'LANÇAMENTOS'!$B$6:$B$1005,"SAÍDA",'LANÇAMENTOS'!$D$6:$D$1005,$A31))</f>
        <v/>
      </c>
      <c r="I31" s="31">
        <f>IF($A31="","",SUMIFS('LANÇAMENTOS'!$G$6:$G$1005,'LANÇAMENTOS'!$I$6:$I$1005,($A$4*12+8),'LANÇAMENTOS'!$B$6:$B$1005,"SAÍDA",'LANÇAMENTOS'!$D$6:$D$1005,$A31))</f>
        <v/>
      </c>
      <c r="J31" s="31">
        <f>IF($A31="","",SUMIFS('LANÇAMENTOS'!$G$6:$G$1005,'LANÇAMENTOS'!$I$6:$I$1005,($A$4*12+9),'LANÇAMENTOS'!$B$6:$B$1005,"SAÍDA",'LANÇAMENTOS'!$D$6:$D$1005,$A31))</f>
        <v/>
      </c>
      <c r="K31" s="31">
        <f>IF($A31="","",SUMIFS('LANÇAMENTOS'!$G$6:$G$1005,'LANÇAMENTOS'!$I$6:$I$1005,($A$4*12+10),'LANÇAMENTOS'!$B$6:$B$1005,"SAÍDA",'LANÇAMENTOS'!$D$6:$D$1005,$A31))</f>
        <v/>
      </c>
      <c r="L31" s="31">
        <f>IF($A31="","",SUMIFS('LANÇAMENTOS'!$G$6:$G$1005,'LANÇAMENTOS'!$I$6:$I$1005,($A$4*12+11),'LANÇAMENTOS'!$B$6:$B$1005,"SAÍDA",'LANÇAMENTOS'!$D$6:$D$1005,$A31))</f>
        <v/>
      </c>
      <c r="M31" s="31">
        <f>IF($A31="","",SUMIFS('LANÇAMENTOS'!$G$6:$G$1005,'LANÇAMENTOS'!$I$6:$I$1005,($A$4*12+12),'LANÇAMENTOS'!$B$6:$B$1005,"SAÍDA",'LANÇAMENTOS'!$D$6:$D$1005,$A31))</f>
        <v/>
      </c>
      <c r="N31" s="43">
        <f>IF($A31="","",SUM(B31:M31))</f>
        <v/>
      </c>
    </row>
    <row r="32">
      <c r="A32" s="18">
        <f>IF(LISTAS!$B15="SAÍDA",LISTAS!$A15,"")</f>
        <v/>
      </c>
      <c r="B32" s="31">
        <f>IF($A32="","",SUMIFS('LANÇAMENTOS'!$G$6:$G$1005,'LANÇAMENTOS'!$I$6:$I$1005,($A$4*12+1),'LANÇAMENTOS'!$B$6:$B$1005,"SAÍDA",'LANÇAMENTOS'!$D$6:$D$1005,$A32))</f>
        <v/>
      </c>
      <c r="C32" s="31">
        <f>IF($A32="","",SUMIFS('LANÇAMENTOS'!$G$6:$G$1005,'LANÇAMENTOS'!$I$6:$I$1005,($A$4*12+2),'LANÇAMENTOS'!$B$6:$B$1005,"SAÍDA",'LANÇAMENTOS'!$D$6:$D$1005,$A32))</f>
        <v/>
      </c>
      <c r="D32" s="31">
        <f>IF($A32="","",SUMIFS('LANÇAMENTOS'!$G$6:$G$1005,'LANÇAMENTOS'!$I$6:$I$1005,($A$4*12+3),'LANÇAMENTOS'!$B$6:$B$1005,"SAÍDA",'LANÇAMENTOS'!$D$6:$D$1005,$A32))</f>
        <v/>
      </c>
      <c r="E32" s="31">
        <f>IF($A32="","",SUMIFS('LANÇAMENTOS'!$G$6:$G$1005,'LANÇAMENTOS'!$I$6:$I$1005,($A$4*12+4),'LANÇAMENTOS'!$B$6:$B$1005,"SAÍDA",'LANÇAMENTOS'!$D$6:$D$1005,$A32))</f>
        <v/>
      </c>
      <c r="F32" s="31">
        <f>IF($A32="","",SUMIFS('LANÇAMENTOS'!$G$6:$G$1005,'LANÇAMENTOS'!$I$6:$I$1005,($A$4*12+5),'LANÇAMENTOS'!$B$6:$B$1005,"SAÍDA",'LANÇAMENTOS'!$D$6:$D$1005,$A32))</f>
        <v/>
      </c>
      <c r="G32" s="31">
        <f>IF($A32="","",SUMIFS('LANÇAMENTOS'!$G$6:$G$1005,'LANÇAMENTOS'!$I$6:$I$1005,($A$4*12+6),'LANÇAMENTOS'!$B$6:$B$1005,"SAÍDA",'LANÇAMENTOS'!$D$6:$D$1005,$A32))</f>
        <v/>
      </c>
      <c r="H32" s="31">
        <f>IF($A32="","",SUMIFS('LANÇAMENTOS'!$G$6:$G$1005,'LANÇAMENTOS'!$I$6:$I$1005,($A$4*12+7),'LANÇAMENTOS'!$B$6:$B$1005,"SAÍDA",'LANÇAMENTOS'!$D$6:$D$1005,$A32))</f>
        <v/>
      </c>
      <c r="I32" s="31">
        <f>IF($A32="","",SUMIFS('LANÇAMENTOS'!$G$6:$G$1005,'LANÇAMENTOS'!$I$6:$I$1005,($A$4*12+8),'LANÇAMENTOS'!$B$6:$B$1005,"SAÍDA",'LANÇAMENTOS'!$D$6:$D$1005,$A32))</f>
        <v/>
      </c>
      <c r="J32" s="31">
        <f>IF($A32="","",SUMIFS('LANÇAMENTOS'!$G$6:$G$1005,'LANÇAMENTOS'!$I$6:$I$1005,($A$4*12+9),'LANÇAMENTOS'!$B$6:$B$1005,"SAÍDA",'LANÇAMENTOS'!$D$6:$D$1005,$A32))</f>
        <v/>
      </c>
      <c r="K32" s="31">
        <f>IF($A32="","",SUMIFS('LANÇAMENTOS'!$G$6:$G$1005,'LANÇAMENTOS'!$I$6:$I$1005,($A$4*12+10),'LANÇAMENTOS'!$B$6:$B$1005,"SAÍDA",'LANÇAMENTOS'!$D$6:$D$1005,$A32))</f>
        <v/>
      </c>
      <c r="L32" s="31">
        <f>IF($A32="","",SUMIFS('LANÇAMENTOS'!$G$6:$G$1005,'LANÇAMENTOS'!$I$6:$I$1005,($A$4*12+11),'LANÇAMENTOS'!$B$6:$B$1005,"SAÍDA",'LANÇAMENTOS'!$D$6:$D$1005,$A32))</f>
        <v/>
      </c>
      <c r="M32" s="31">
        <f>IF($A32="","",SUMIFS('LANÇAMENTOS'!$G$6:$G$1005,'LANÇAMENTOS'!$I$6:$I$1005,($A$4*12+12),'LANÇAMENTOS'!$B$6:$B$1005,"SAÍDA",'LANÇAMENTOS'!$D$6:$D$1005,$A32))</f>
        <v/>
      </c>
      <c r="N32" s="43">
        <f>IF($A32="","",SUM(B32:M32))</f>
        <v/>
      </c>
    </row>
    <row r="33">
      <c r="A33" s="18">
        <f>IF(LISTAS!$B16="SAÍDA",LISTAS!$A16,"")</f>
        <v/>
      </c>
      <c r="B33" s="31">
        <f>IF($A33="","",SUMIFS('LANÇAMENTOS'!$G$6:$G$1005,'LANÇAMENTOS'!$I$6:$I$1005,($A$4*12+1),'LANÇAMENTOS'!$B$6:$B$1005,"SAÍDA",'LANÇAMENTOS'!$D$6:$D$1005,$A33))</f>
        <v/>
      </c>
      <c r="C33" s="31">
        <f>IF($A33="","",SUMIFS('LANÇAMENTOS'!$G$6:$G$1005,'LANÇAMENTOS'!$I$6:$I$1005,($A$4*12+2),'LANÇAMENTOS'!$B$6:$B$1005,"SAÍDA",'LANÇAMENTOS'!$D$6:$D$1005,$A33))</f>
        <v/>
      </c>
      <c r="D33" s="31">
        <f>IF($A33="","",SUMIFS('LANÇAMENTOS'!$G$6:$G$1005,'LANÇAMENTOS'!$I$6:$I$1005,($A$4*12+3),'LANÇAMENTOS'!$B$6:$B$1005,"SAÍDA",'LANÇAMENTOS'!$D$6:$D$1005,$A33))</f>
        <v/>
      </c>
      <c r="E33" s="31">
        <f>IF($A33="","",SUMIFS('LANÇAMENTOS'!$G$6:$G$1005,'LANÇAMENTOS'!$I$6:$I$1005,($A$4*12+4),'LANÇAMENTOS'!$B$6:$B$1005,"SAÍDA",'LANÇAMENTOS'!$D$6:$D$1005,$A33))</f>
        <v/>
      </c>
      <c r="F33" s="31">
        <f>IF($A33="","",SUMIFS('LANÇAMENTOS'!$G$6:$G$1005,'LANÇAMENTOS'!$I$6:$I$1005,($A$4*12+5),'LANÇAMENTOS'!$B$6:$B$1005,"SAÍDA",'LANÇAMENTOS'!$D$6:$D$1005,$A33))</f>
        <v/>
      </c>
      <c r="G33" s="31">
        <f>IF($A33="","",SUMIFS('LANÇAMENTOS'!$G$6:$G$1005,'LANÇAMENTOS'!$I$6:$I$1005,($A$4*12+6),'LANÇAMENTOS'!$B$6:$B$1005,"SAÍDA",'LANÇAMENTOS'!$D$6:$D$1005,$A33))</f>
        <v/>
      </c>
      <c r="H33" s="31">
        <f>IF($A33="","",SUMIFS('LANÇAMENTOS'!$G$6:$G$1005,'LANÇAMENTOS'!$I$6:$I$1005,($A$4*12+7),'LANÇAMENTOS'!$B$6:$B$1005,"SAÍDA",'LANÇAMENTOS'!$D$6:$D$1005,$A33))</f>
        <v/>
      </c>
      <c r="I33" s="31">
        <f>IF($A33="","",SUMIFS('LANÇAMENTOS'!$G$6:$G$1005,'LANÇAMENTOS'!$I$6:$I$1005,($A$4*12+8),'LANÇAMENTOS'!$B$6:$B$1005,"SAÍDA",'LANÇAMENTOS'!$D$6:$D$1005,$A33))</f>
        <v/>
      </c>
      <c r="J33" s="31">
        <f>IF($A33="","",SUMIFS('LANÇAMENTOS'!$G$6:$G$1005,'LANÇAMENTOS'!$I$6:$I$1005,($A$4*12+9),'LANÇAMENTOS'!$B$6:$B$1005,"SAÍDA",'LANÇAMENTOS'!$D$6:$D$1005,$A33))</f>
        <v/>
      </c>
      <c r="K33" s="31">
        <f>IF($A33="","",SUMIFS('LANÇAMENTOS'!$G$6:$G$1005,'LANÇAMENTOS'!$I$6:$I$1005,($A$4*12+10),'LANÇAMENTOS'!$B$6:$B$1005,"SAÍDA",'LANÇAMENTOS'!$D$6:$D$1005,$A33))</f>
        <v/>
      </c>
      <c r="L33" s="31">
        <f>IF($A33="","",SUMIFS('LANÇAMENTOS'!$G$6:$G$1005,'LANÇAMENTOS'!$I$6:$I$1005,($A$4*12+11),'LANÇAMENTOS'!$B$6:$B$1005,"SAÍDA",'LANÇAMENTOS'!$D$6:$D$1005,$A33))</f>
        <v/>
      </c>
      <c r="M33" s="31">
        <f>IF($A33="","",SUMIFS('LANÇAMENTOS'!$G$6:$G$1005,'LANÇAMENTOS'!$I$6:$I$1005,($A$4*12+12),'LANÇAMENTOS'!$B$6:$B$1005,"SAÍDA",'LANÇAMENTOS'!$D$6:$D$1005,$A33))</f>
        <v/>
      </c>
      <c r="N33" s="43">
        <f>IF($A33="","",SUM(B33:M33))</f>
        <v/>
      </c>
    </row>
    <row r="34">
      <c r="A34" s="18">
        <f>IF(LISTAS!$B17="SAÍDA",LISTAS!$A17,"")</f>
        <v/>
      </c>
      <c r="B34" s="31">
        <f>IF($A34="","",SUMIFS('LANÇAMENTOS'!$G$6:$G$1005,'LANÇAMENTOS'!$I$6:$I$1005,($A$4*12+1),'LANÇAMENTOS'!$B$6:$B$1005,"SAÍDA",'LANÇAMENTOS'!$D$6:$D$1005,$A34))</f>
        <v/>
      </c>
      <c r="C34" s="31">
        <f>IF($A34="","",SUMIFS('LANÇAMENTOS'!$G$6:$G$1005,'LANÇAMENTOS'!$I$6:$I$1005,($A$4*12+2),'LANÇAMENTOS'!$B$6:$B$1005,"SAÍDA",'LANÇAMENTOS'!$D$6:$D$1005,$A34))</f>
        <v/>
      </c>
      <c r="D34" s="31">
        <f>IF($A34="","",SUMIFS('LANÇAMENTOS'!$G$6:$G$1005,'LANÇAMENTOS'!$I$6:$I$1005,($A$4*12+3),'LANÇAMENTOS'!$B$6:$B$1005,"SAÍDA",'LANÇAMENTOS'!$D$6:$D$1005,$A34))</f>
        <v/>
      </c>
      <c r="E34" s="31">
        <f>IF($A34="","",SUMIFS('LANÇAMENTOS'!$G$6:$G$1005,'LANÇAMENTOS'!$I$6:$I$1005,($A$4*12+4),'LANÇAMENTOS'!$B$6:$B$1005,"SAÍDA",'LANÇAMENTOS'!$D$6:$D$1005,$A34))</f>
        <v/>
      </c>
      <c r="F34" s="31">
        <f>IF($A34="","",SUMIFS('LANÇAMENTOS'!$G$6:$G$1005,'LANÇAMENTOS'!$I$6:$I$1005,($A$4*12+5),'LANÇAMENTOS'!$B$6:$B$1005,"SAÍDA",'LANÇAMENTOS'!$D$6:$D$1005,$A34))</f>
        <v/>
      </c>
      <c r="G34" s="31">
        <f>IF($A34="","",SUMIFS('LANÇAMENTOS'!$G$6:$G$1005,'LANÇAMENTOS'!$I$6:$I$1005,($A$4*12+6),'LANÇAMENTOS'!$B$6:$B$1005,"SAÍDA",'LANÇAMENTOS'!$D$6:$D$1005,$A34))</f>
        <v/>
      </c>
      <c r="H34" s="31">
        <f>IF($A34="","",SUMIFS('LANÇAMENTOS'!$G$6:$G$1005,'LANÇAMENTOS'!$I$6:$I$1005,($A$4*12+7),'LANÇAMENTOS'!$B$6:$B$1005,"SAÍDA",'LANÇAMENTOS'!$D$6:$D$1005,$A34))</f>
        <v/>
      </c>
      <c r="I34" s="31">
        <f>IF($A34="","",SUMIFS('LANÇAMENTOS'!$G$6:$G$1005,'LANÇAMENTOS'!$I$6:$I$1005,($A$4*12+8),'LANÇAMENTOS'!$B$6:$B$1005,"SAÍDA",'LANÇAMENTOS'!$D$6:$D$1005,$A34))</f>
        <v/>
      </c>
      <c r="J34" s="31">
        <f>IF($A34="","",SUMIFS('LANÇAMENTOS'!$G$6:$G$1005,'LANÇAMENTOS'!$I$6:$I$1005,($A$4*12+9),'LANÇAMENTOS'!$B$6:$B$1005,"SAÍDA",'LANÇAMENTOS'!$D$6:$D$1005,$A34))</f>
        <v/>
      </c>
      <c r="K34" s="31">
        <f>IF($A34="","",SUMIFS('LANÇAMENTOS'!$G$6:$G$1005,'LANÇAMENTOS'!$I$6:$I$1005,($A$4*12+10),'LANÇAMENTOS'!$B$6:$B$1005,"SAÍDA",'LANÇAMENTOS'!$D$6:$D$1005,$A34))</f>
        <v/>
      </c>
      <c r="L34" s="31">
        <f>IF($A34="","",SUMIFS('LANÇAMENTOS'!$G$6:$G$1005,'LANÇAMENTOS'!$I$6:$I$1005,($A$4*12+11),'LANÇAMENTOS'!$B$6:$B$1005,"SAÍDA",'LANÇAMENTOS'!$D$6:$D$1005,$A34))</f>
        <v/>
      </c>
      <c r="M34" s="31">
        <f>IF($A34="","",SUMIFS('LANÇAMENTOS'!$G$6:$G$1005,'LANÇAMENTOS'!$I$6:$I$1005,($A$4*12+12),'LANÇAMENTOS'!$B$6:$B$1005,"SAÍDA",'LANÇAMENTOS'!$D$6:$D$1005,$A34))</f>
        <v/>
      </c>
      <c r="N34" s="43">
        <f>IF($A34="","",SUM(B34:M34))</f>
        <v/>
      </c>
    </row>
    <row r="35">
      <c r="A35" s="18">
        <f>IF(LISTAS!$B18="SAÍDA",LISTAS!$A18,"")</f>
        <v/>
      </c>
      <c r="B35" s="31">
        <f>IF($A35="","",SUMIFS('LANÇAMENTOS'!$G$6:$G$1005,'LANÇAMENTOS'!$I$6:$I$1005,($A$4*12+1),'LANÇAMENTOS'!$B$6:$B$1005,"SAÍDA",'LANÇAMENTOS'!$D$6:$D$1005,$A35))</f>
        <v/>
      </c>
      <c r="C35" s="31">
        <f>IF($A35="","",SUMIFS('LANÇAMENTOS'!$G$6:$G$1005,'LANÇAMENTOS'!$I$6:$I$1005,($A$4*12+2),'LANÇAMENTOS'!$B$6:$B$1005,"SAÍDA",'LANÇAMENTOS'!$D$6:$D$1005,$A35))</f>
        <v/>
      </c>
      <c r="D35" s="31">
        <f>IF($A35="","",SUMIFS('LANÇAMENTOS'!$G$6:$G$1005,'LANÇAMENTOS'!$I$6:$I$1005,($A$4*12+3),'LANÇAMENTOS'!$B$6:$B$1005,"SAÍDA",'LANÇAMENTOS'!$D$6:$D$1005,$A35))</f>
        <v/>
      </c>
      <c r="E35" s="31">
        <f>IF($A35="","",SUMIFS('LANÇAMENTOS'!$G$6:$G$1005,'LANÇAMENTOS'!$I$6:$I$1005,($A$4*12+4),'LANÇAMENTOS'!$B$6:$B$1005,"SAÍDA",'LANÇAMENTOS'!$D$6:$D$1005,$A35))</f>
        <v/>
      </c>
      <c r="F35" s="31">
        <f>IF($A35="","",SUMIFS('LANÇAMENTOS'!$G$6:$G$1005,'LANÇAMENTOS'!$I$6:$I$1005,($A$4*12+5),'LANÇAMENTOS'!$B$6:$B$1005,"SAÍDA",'LANÇAMENTOS'!$D$6:$D$1005,$A35))</f>
        <v/>
      </c>
      <c r="G35" s="31">
        <f>IF($A35="","",SUMIFS('LANÇAMENTOS'!$G$6:$G$1005,'LANÇAMENTOS'!$I$6:$I$1005,($A$4*12+6),'LANÇAMENTOS'!$B$6:$B$1005,"SAÍDA",'LANÇAMENTOS'!$D$6:$D$1005,$A35))</f>
        <v/>
      </c>
      <c r="H35" s="31">
        <f>IF($A35="","",SUMIFS('LANÇAMENTOS'!$G$6:$G$1005,'LANÇAMENTOS'!$I$6:$I$1005,($A$4*12+7),'LANÇAMENTOS'!$B$6:$B$1005,"SAÍDA",'LANÇAMENTOS'!$D$6:$D$1005,$A35))</f>
        <v/>
      </c>
      <c r="I35" s="31">
        <f>IF($A35="","",SUMIFS('LANÇAMENTOS'!$G$6:$G$1005,'LANÇAMENTOS'!$I$6:$I$1005,($A$4*12+8),'LANÇAMENTOS'!$B$6:$B$1005,"SAÍDA",'LANÇAMENTOS'!$D$6:$D$1005,$A35))</f>
        <v/>
      </c>
      <c r="J35" s="31">
        <f>IF($A35="","",SUMIFS('LANÇAMENTOS'!$G$6:$G$1005,'LANÇAMENTOS'!$I$6:$I$1005,($A$4*12+9),'LANÇAMENTOS'!$B$6:$B$1005,"SAÍDA",'LANÇAMENTOS'!$D$6:$D$1005,$A35))</f>
        <v/>
      </c>
      <c r="K35" s="31">
        <f>IF($A35="","",SUMIFS('LANÇAMENTOS'!$G$6:$G$1005,'LANÇAMENTOS'!$I$6:$I$1005,($A$4*12+10),'LANÇAMENTOS'!$B$6:$B$1005,"SAÍDA",'LANÇAMENTOS'!$D$6:$D$1005,$A35))</f>
        <v/>
      </c>
      <c r="L35" s="31">
        <f>IF($A35="","",SUMIFS('LANÇAMENTOS'!$G$6:$G$1005,'LANÇAMENTOS'!$I$6:$I$1005,($A$4*12+11),'LANÇAMENTOS'!$B$6:$B$1005,"SAÍDA",'LANÇAMENTOS'!$D$6:$D$1005,$A35))</f>
        <v/>
      </c>
      <c r="M35" s="31">
        <f>IF($A35="","",SUMIFS('LANÇAMENTOS'!$G$6:$G$1005,'LANÇAMENTOS'!$I$6:$I$1005,($A$4*12+12),'LANÇAMENTOS'!$B$6:$B$1005,"SAÍDA",'LANÇAMENTOS'!$D$6:$D$1005,$A35))</f>
        <v/>
      </c>
      <c r="N35" s="43">
        <f>IF($A35="","",SUM(B35:M35))</f>
        <v/>
      </c>
    </row>
    <row r="36">
      <c r="A36" s="18">
        <f>IF(LISTAS!$B19="SAÍDA",LISTAS!$A19,"")</f>
        <v/>
      </c>
      <c r="B36" s="31">
        <f>IF($A36="","",SUMIFS('LANÇAMENTOS'!$G$6:$G$1005,'LANÇAMENTOS'!$I$6:$I$1005,($A$4*12+1),'LANÇAMENTOS'!$B$6:$B$1005,"SAÍDA",'LANÇAMENTOS'!$D$6:$D$1005,$A36))</f>
        <v/>
      </c>
      <c r="C36" s="31">
        <f>IF($A36="","",SUMIFS('LANÇAMENTOS'!$G$6:$G$1005,'LANÇAMENTOS'!$I$6:$I$1005,($A$4*12+2),'LANÇAMENTOS'!$B$6:$B$1005,"SAÍDA",'LANÇAMENTOS'!$D$6:$D$1005,$A36))</f>
        <v/>
      </c>
      <c r="D36" s="31">
        <f>IF($A36="","",SUMIFS('LANÇAMENTOS'!$G$6:$G$1005,'LANÇAMENTOS'!$I$6:$I$1005,($A$4*12+3),'LANÇAMENTOS'!$B$6:$B$1005,"SAÍDA",'LANÇAMENTOS'!$D$6:$D$1005,$A36))</f>
        <v/>
      </c>
      <c r="E36" s="31">
        <f>IF($A36="","",SUMIFS('LANÇAMENTOS'!$G$6:$G$1005,'LANÇAMENTOS'!$I$6:$I$1005,($A$4*12+4),'LANÇAMENTOS'!$B$6:$B$1005,"SAÍDA",'LANÇAMENTOS'!$D$6:$D$1005,$A36))</f>
        <v/>
      </c>
      <c r="F36" s="31">
        <f>IF($A36="","",SUMIFS('LANÇAMENTOS'!$G$6:$G$1005,'LANÇAMENTOS'!$I$6:$I$1005,($A$4*12+5),'LANÇAMENTOS'!$B$6:$B$1005,"SAÍDA",'LANÇAMENTOS'!$D$6:$D$1005,$A36))</f>
        <v/>
      </c>
      <c r="G36" s="31">
        <f>IF($A36="","",SUMIFS('LANÇAMENTOS'!$G$6:$G$1005,'LANÇAMENTOS'!$I$6:$I$1005,($A$4*12+6),'LANÇAMENTOS'!$B$6:$B$1005,"SAÍDA",'LANÇAMENTOS'!$D$6:$D$1005,$A36))</f>
        <v/>
      </c>
      <c r="H36" s="31">
        <f>IF($A36="","",SUMIFS('LANÇAMENTOS'!$G$6:$G$1005,'LANÇAMENTOS'!$I$6:$I$1005,($A$4*12+7),'LANÇAMENTOS'!$B$6:$B$1005,"SAÍDA",'LANÇAMENTOS'!$D$6:$D$1005,$A36))</f>
        <v/>
      </c>
      <c r="I36" s="31">
        <f>IF($A36="","",SUMIFS('LANÇAMENTOS'!$G$6:$G$1005,'LANÇAMENTOS'!$I$6:$I$1005,($A$4*12+8),'LANÇAMENTOS'!$B$6:$B$1005,"SAÍDA",'LANÇAMENTOS'!$D$6:$D$1005,$A36))</f>
        <v/>
      </c>
      <c r="J36" s="31">
        <f>IF($A36="","",SUMIFS('LANÇAMENTOS'!$G$6:$G$1005,'LANÇAMENTOS'!$I$6:$I$1005,($A$4*12+9),'LANÇAMENTOS'!$B$6:$B$1005,"SAÍDA",'LANÇAMENTOS'!$D$6:$D$1005,$A36))</f>
        <v/>
      </c>
      <c r="K36" s="31">
        <f>IF($A36="","",SUMIFS('LANÇAMENTOS'!$G$6:$G$1005,'LANÇAMENTOS'!$I$6:$I$1005,($A$4*12+10),'LANÇAMENTOS'!$B$6:$B$1005,"SAÍDA",'LANÇAMENTOS'!$D$6:$D$1005,$A36))</f>
        <v/>
      </c>
      <c r="L36" s="31">
        <f>IF($A36="","",SUMIFS('LANÇAMENTOS'!$G$6:$G$1005,'LANÇAMENTOS'!$I$6:$I$1005,($A$4*12+11),'LANÇAMENTOS'!$B$6:$B$1005,"SAÍDA",'LANÇAMENTOS'!$D$6:$D$1005,$A36))</f>
        <v/>
      </c>
      <c r="M36" s="31">
        <f>IF($A36="","",SUMIFS('LANÇAMENTOS'!$G$6:$G$1005,'LANÇAMENTOS'!$I$6:$I$1005,($A$4*12+12),'LANÇAMENTOS'!$B$6:$B$1005,"SAÍDA",'LANÇAMENTOS'!$D$6:$D$1005,$A36))</f>
        <v/>
      </c>
      <c r="N36" s="43">
        <f>IF($A36="","",SUM(B36:M36))</f>
        <v/>
      </c>
    </row>
    <row r="37">
      <c r="A37" s="18">
        <f>IF(LISTAS!$B20="SAÍDA",LISTAS!$A20,"")</f>
        <v/>
      </c>
      <c r="B37" s="31">
        <f>IF($A37="","",SUMIFS('LANÇAMENTOS'!$G$6:$G$1005,'LANÇAMENTOS'!$I$6:$I$1005,($A$4*12+1),'LANÇAMENTOS'!$B$6:$B$1005,"SAÍDA",'LANÇAMENTOS'!$D$6:$D$1005,$A37))</f>
        <v/>
      </c>
      <c r="C37" s="31">
        <f>IF($A37="","",SUMIFS('LANÇAMENTOS'!$G$6:$G$1005,'LANÇAMENTOS'!$I$6:$I$1005,($A$4*12+2),'LANÇAMENTOS'!$B$6:$B$1005,"SAÍDA",'LANÇAMENTOS'!$D$6:$D$1005,$A37))</f>
        <v/>
      </c>
      <c r="D37" s="31">
        <f>IF($A37="","",SUMIFS('LANÇAMENTOS'!$G$6:$G$1005,'LANÇAMENTOS'!$I$6:$I$1005,($A$4*12+3),'LANÇAMENTOS'!$B$6:$B$1005,"SAÍDA",'LANÇAMENTOS'!$D$6:$D$1005,$A37))</f>
        <v/>
      </c>
      <c r="E37" s="31">
        <f>IF($A37="","",SUMIFS('LANÇAMENTOS'!$G$6:$G$1005,'LANÇAMENTOS'!$I$6:$I$1005,($A$4*12+4),'LANÇAMENTOS'!$B$6:$B$1005,"SAÍDA",'LANÇAMENTOS'!$D$6:$D$1005,$A37))</f>
        <v/>
      </c>
      <c r="F37" s="31">
        <f>IF($A37="","",SUMIFS('LANÇAMENTOS'!$G$6:$G$1005,'LANÇAMENTOS'!$I$6:$I$1005,($A$4*12+5),'LANÇAMENTOS'!$B$6:$B$1005,"SAÍDA",'LANÇAMENTOS'!$D$6:$D$1005,$A37))</f>
        <v/>
      </c>
      <c r="G37" s="31">
        <f>IF($A37="","",SUMIFS('LANÇAMENTOS'!$G$6:$G$1005,'LANÇAMENTOS'!$I$6:$I$1005,($A$4*12+6),'LANÇAMENTOS'!$B$6:$B$1005,"SAÍDA",'LANÇAMENTOS'!$D$6:$D$1005,$A37))</f>
        <v/>
      </c>
      <c r="H37" s="31">
        <f>IF($A37="","",SUMIFS('LANÇAMENTOS'!$G$6:$G$1005,'LANÇAMENTOS'!$I$6:$I$1005,($A$4*12+7),'LANÇAMENTOS'!$B$6:$B$1005,"SAÍDA",'LANÇAMENTOS'!$D$6:$D$1005,$A37))</f>
        <v/>
      </c>
      <c r="I37" s="31">
        <f>IF($A37="","",SUMIFS('LANÇAMENTOS'!$G$6:$G$1005,'LANÇAMENTOS'!$I$6:$I$1005,($A$4*12+8),'LANÇAMENTOS'!$B$6:$B$1005,"SAÍDA",'LANÇAMENTOS'!$D$6:$D$1005,$A37))</f>
        <v/>
      </c>
      <c r="J37" s="31">
        <f>IF($A37="","",SUMIFS('LANÇAMENTOS'!$G$6:$G$1005,'LANÇAMENTOS'!$I$6:$I$1005,($A$4*12+9),'LANÇAMENTOS'!$B$6:$B$1005,"SAÍDA",'LANÇAMENTOS'!$D$6:$D$1005,$A37))</f>
        <v/>
      </c>
      <c r="K37" s="31">
        <f>IF($A37="","",SUMIFS('LANÇAMENTOS'!$G$6:$G$1005,'LANÇAMENTOS'!$I$6:$I$1005,($A$4*12+10),'LANÇAMENTOS'!$B$6:$B$1005,"SAÍDA",'LANÇAMENTOS'!$D$6:$D$1005,$A37))</f>
        <v/>
      </c>
      <c r="L37" s="31">
        <f>IF($A37="","",SUMIFS('LANÇAMENTOS'!$G$6:$G$1005,'LANÇAMENTOS'!$I$6:$I$1005,($A$4*12+11),'LANÇAMENTOS'!$B$6:$B$1005,"SAÍDA",'LANÇAMENTOS'!$D$6:$D$1005,$A37))</f>
        <v/>
      </c>
      <c r="M37" s="31">
        <f>IF($A37="","",SUMIFS('LANÇAMENTOS'!$G$6:$G$1005,'LANÇAMENTOS'!$I$6:$I$1005,($A$4*12+12),'LANÇAMENTOS'!$B$6:$B$1005,"SAÍDA",'LANÇAMENTOS'!$D$6:$D$1005,$A37))</f>
        <v/>
      </c>
      <c r="N37" s="43">
        <f>IF($A37="","",SUM(B37:M37))</f>
        <v/>
      </c>
    </row>
    <row r="38">
      <c r="A38" s="18">
        <f>IF(LISTAS!$B21="SAÍDA",LISTAS!$A21,"")</f>
        <v/>
      </c>
      <c r="B38" s="31">
        <f>IF($A38="","",SUMIFS('LANÇAMENTOS'!$G$6:$G$1005,'LANÇAMENTOS'!$I$6:$I$1005,($A$4*12+1),'LANÇAMENTOS'!$B$6:$B$1005,"SAÍDA",'LANÇAMENTOS'!$D$6:$D$1005,$A38))</f>
        <v/>
      </c>
      <c r="C38" s="31">
        <f>IF($A38="","",SUMIFS('LANÇAMENTOS'!$G$6:$G$1005,'LANÇAMENTOS'!$I$6:$I$1005,($A$4*12+2),'LANÇAMENTOS'!$B$6:$B$1005,"SAÍDA",'LANÇAMENTOS'!$D$6:$D$1005,$A38))</f>
        <v/>
      </c>
      <c r="D38" s="31">
        <f>IF($A38="","",SUMIFS('LANÇAMENTOS'!$G$6:$G$1005,'LANÇAMENTOS'!$I$6:$I$1005,($A$4*12+3),'LANÇAMENTOS'!$B$6:$B$1005,"SAÍDA",'LANÇAMENTOS'!$D$6:$D$1005,$A38))</f>
        <v/>
      </c>
      <c r="E38" s="31">
        <f>IF($A38="","",SUMIFS('LANÇAMENTOS'!$G$6:$G$1005,'LANÇAMENTOS'!$I$6:$I$1005,($A$4*12+4),'LANÇAMENTOS'!$B$6:$B$1005,"SAÍDA",'LANÇAMENTOS'!$D$6:$D$1005,$A38))</f>
        <v/>
      </c>
      <c r="F38" s="31">
        <f>IF($A38="","",SUMIFS('LANÇAMENTOS'!$G$6:$G$1005,'LANÇAMENTOS'!$I$6:$I$1005,($A$4*12+5),'LANÇAMENTOS'!$B$6:$B$1005,"SAÍDA",'LANÇAMENTOS'!$D$6:$D$1005,$A38))</f>
        <v/>
      </c>
      <c r="G38" s="31">
        <f>IF($A38="","",SUMIFS('LANÇAMENTOS'!$G$6:$G$1005,'LANÇAMENTOS'!$I$6:$I$1005,($A$4*12+6),'LANÇAMENTOS'!$B$6:$B$1005,"SAÍDA",'LANÇAMENTOS'!$D$6:$D$1005,$A38))</f>
        <v/>
      </c>
      <c r="H38" s="31">
        <f>IF($A38="","",SUMIFS('LANÇAMENTOS'!$G$6:$G$1005,'LANÇAMENTOS'!$I$6:$I$1005,($A$4*12+7),'LANÇAMENTOS'!$B$6:$B$1005,"SAÍDA",'LANÇAMENTOS'!$D$6:$D$1005,$A38))</f>
        <v/>
      </c>
      <c r="I38" s="31">
        <f>IF($A38="","",SUMIFS('LANÇAMENTOS'!$G$6:$G$1005,'LANÇAMENTOS'!$I$6:$I$1005,($A$4*12+8),'LANÇAMENTOS'!$B$6:$B$1005,"SAÍDA",'LANÇAMENTOS'!$D$6:$D$1005,$A38))</f>
        <v/>
      </c>
      <c r="J38" s="31">
        <f>IF($A38="","",SUMIFS('LANÇAMENTOS'!$G$6:$G$1005,'LANÇAMENTOS'!$I$6:$I$1005,($A$4*12+9),'LANÇAMENTOS'!$B$6:$B$1005,"SAÍDA",'LANÇAMENTOS'!$D$6:$D$1005,$A38))</f>
        <v/>
      </c>
      <c r="K38" s="31">
        <f>IF($A38="","",SUMIFS('LANÇAMENTOS'!$G$6:$G$1005,'LANÇAMENTOS'!$I$6:$I$1005,($A$4*12+10),'LANÇAMENTOS'!$B$6:$B$1005,"SAÍDA",'LANÇAMENTOS'!$D$6:$D$1005,$A38))</f>
        <v/>
      </c>
      <c r="L38" s="31">
        <f>IF($A38="","",SUMIFS('LANÇAMENTOS'!$G$6:$G$1005,'LANÇAMENTOS'!$I$6:$I$1005,($A$4*12+11),'LANÇAMENTOS'!$B$6:$B$1005,"SAÍDA",'LANÇAMENTOS'!$D$6:$D$1005,$A38))</f>
        <v/>
      </c>
      <c r="M38" s="31">
        <f>IF($A38="","",SUMIFS('LANÇAMENTOS'!$G$6:$G$1005,'LANÇAMENTOS'!$I$6:$I$1005,($A$4*12+12),'LANÇAMENTOS'!$B$6:$B$1005,"SAÍDA",'LANÇAMENTOS'!$D$6:$D$1005,$A38))</f>
        <v/>
      </c>
      <c r="N38" s="43">
        <f>IF($A38="","",SUM(B38:M38))</f>
        <v/>
      </c>
    </row>
    <row r="39">
      <c r="A39" s="18">
        <f>IF(LISTAS!$B22="SAÍDA",LISTAS!$A22,"")</f>
        <v/>
      </c>
      <c r="B39" s="31">
        <f>IF($A39="","",SUMIFS('LANÇAMENTOS'!$G$6:$G$1005,'LANÇAMENTOS'!$I$6:$I$1005,($A$4*12+1),'LANÇAMENTOS'!$B$6:$B$1005,"SAÍDA",'LANÇAMENTOS'!$D$6:$D$1005,$A39))</f>
        <v/>
      </c>
      <c r="C39" s="31">
        <f>IF($A39="","",SUMIFS('LANÇAMENTOS'!$G$6:$G$1005,'LANÇAMENTOS'!$I$6:$I$1005,($A$4*12+2),'LANÇAMENTOS'!$B$6:$B$1005,"SAÍDA",'LANÇAMENTOS'!$D$6:$D$1005,$A39))</f>
        <v/>
      </c>
      <c r="D39" s="31">
        <f>IF($A39="","",SUMIFS('LANÇAMENTOS'!$G$6:$G$1005,'LANÇAMENTOS'!$I$6:$I$1005,($A$4*12+3),'LANÇAMENTOS'!$B$6:$B$1005,"SAÍDA",'LANÇAMENTOS'!$D$6:$D$1005,$A39))</f>
        <v/>
      </c>
      <c r="E39" s="31">
        <f>IF($A39="","",SUMIFS('LANÇAMENTOS'!$G$6:$G$1005,'LANÇAMENTOS'!$I$6:$I$1005,($A$4*12+4),'LANÇAMENTOS'!$B$6:$B$1005,"SAÍDA",'LANÇAMENTOS'!$D$6:$D$1005,$A39))</f>
        <v/>
      </c>
      <c r="F39" s="31">
        <f>IF($A39="","",SUMIFS('LANÇAMENTOS'!$G$6:$G$1005,'LANÇAMENTOS'!$I$6:$I$1005,($A$4*12+5),'LANÇAMENTOS'!$B$6:$B$1005,"SAÍDA",'LANÇAMENTOS'!$D$6:$D$1005,$A39))</f>
        <v/>
      </c>
      <c r="G39" s="31">
        <f>IF($A39="","",SUMIFS('LANÇAMENTOS'!$G$6:$G$1005,'LANÇAMENTOS'!$I$6:$I$1005,($A$4*12+6),'LANÇAMENTOS'!$B$6:$B$1005,"SAÍDA",'LANÇAMENTOS'!$D$6:$D$1005,$A39))</f>
        <v/>
      </c>
      <c r="H39" s="31">
        <f>IF($A39="","",SUMIFS('LANÇAMENTOS'!$G$6:$G$1005,'LANÇAMENTOS'!$I$6:$I$1005,($A$4*12+7),'LANÇAMENTOS'!$B$6:$B$1005,"SAÍDA",'LANÇAMENTOS'!$D$6:$D$1005,$A39))</f>
        <v/>
      </c>
      <c r="I39" s="31">
        <f>IF($A39="","",SUMIFS('LANÇAMENTOS'!$G$6:$G$1005,'LANÇAMENTOS'!$I$6:$I$1005,($A$4*12+8),'LANÇAMENTOS'!$B$6:$B$1005,"SAÍDA",'LANÇAMENTOS'!$D$6:$D$1005,$A39))</f>
        <v/>
      </c>
      <c r="J39" s="31">
        <f>IF($A39="","",SUMIFS('LANÇAMENTOS'!$G$6:$G$1005,'LANÇAMENTOS'!$I$6:$I$1005,($A$4*12+9),'LANÇAMENTOS'!$B$6:$B$1005,"SAÍDA",'LANÇAMENTOS'!$D$6:$D$1005,$A39))</f>
        <v/>
      </c>
      <c r="K39" s="31">
        <f>IF($A39="","",SUMIFS('LANÇAMENTOS'!$G$6:$G$1005,'LANÇAMENTOS'!$I$6:$I$1005,($A$4*12+10),'LANÇAMENTOS'!$B$6:$B$1005,"SAÍDA",'LANÇAMENTOS'!$D$6:$D$1005,$A39))</f>
        <v/>
      </c>
      <c r="L39" s="31">
        <f>IF($A39="","",SUMIFS('LANÇAMENTOS'!$G$6:$G$1005,'LANÇAMENTOS'!$I$6:$I$1005,($A$4*12+11),'LANÇAMENTOS'!$B$6:$B$1005,"SAÍDA",'LANÇAMENTOS'!$D$6:$D$1005,$A39))</f>
        <v/>
      </c>
      <c r="M39" s="31">
        <f>IF($A39="","",SUMIFS('LANÇAMENTOS'!$G$6:$G$1005,'LANÇAMENTOS'!$I$6:$I$1005,($A$4*12+12),'LANÇAMENTOS'!$B$6:$B$1005,"SAÍDA",'LANÇAMENTOS'!$D$6:$D$1005,$A39))</f>
        <v/>
      </c>
      <c r="N39" s="43">
        <f>IF($A39="","",SUM(B39:M39))</f>
        <v/>
      </c>
    </row>
    <row r="40">
      <c r="A40" s="18">
        <f>IF(LISTAS!$B23="SAÍDA",LISTAS!$A23,"")</f>
        <v/>
      </c>
      <c r="B40" s="31">
        <f>IF($A40="","",SUMIFS('LANÇAMENTOS'!$G$6:$G$1005,'LANÇAMENTOS'!$I$6:$I$1005,($A$4*12+1),'LANÇAMENTOS'!$B$6:$B$1005,"SAÍDA",'LANÇAMENTOS'!$D$6:$D$1005,$A40))</f>
        <v/>
      </c>
      <c r="C40" s="31">
        <f>IF($A40="","",SUMIFS('LANÇAMENTOS'!$G$6:$G$1005,'LANÇAMENTOS'!$I$6:$I$1005,($A$4*12+2),'LANÇAMENTOS'!$B$6:$B$1005,"SAÍDA",'LANÇAMENTOS'!$D$6:$D$1005,$A40))</f>
        <v/>
      </c>
      <c r="D40" s="31">
        <f>IF($A40="","",SUMIFS('LANÇAMENTOS'!$G$6:$G$1005,'LANÇAMENTOS'!$I$6:$I$1005,($A$4*12+3),'LANÇAMENTOS'!$B$6:$B$1005,"SAÍDA",'LANÇAMENTOS'!$D$6:$D$1005,$A40))</f>
        <v/>
      </c>
      <c r="E40" s="31">
        <f>IF($A40="","",SUMIFS('LANÇAMENTOS'!$G$6:$G$1005,'LANÇAMENTOS'!$I$6:$I$1005,($A$4*12+4),'LANÇAMENTOS'!$B$6:$B$1005,"SAÍDA",'LANÇAMENTOS'!$D$6:$D$1005,$A40))</f>
        <v/>
      </c>
      <c r="F40" s="31">
        <f>IF($A40="","",SUMIFS('LANÇAMENTOS'!$G$6:$G$1005,'LANÇAMENTOS'!$I$6:$I$1005,($A$4*12+5),'LANÇAMENTOS'!$B$6:$B$1005,"SAÍDA",'LANÇAMENTOS'!$D$6:$D$1005,$A40))</f>
        <v/>
      </c>
      <c r="G40" s="31">
        <f>IF($A40="","",SUMIFS('LANÇAMENTOS'!$G$6:$G$1005,'LANÇAMENTOS'!$I$6:$I$1005,($A$4*12+6),'LANÇAMENTOS'!$B$6:$B$1005,"SAÍDA",'LANÇAMENTOS'!$D$6:$D$1005,$A40))</f>
        <v/>
      </c>
      <c r="H40" s="31">
        <f>IF($A40="","",SUMIFS('LANÇAMENTOS'!$G$6:$G$1005,'LANÇAMENTOS'!$I$6:$I$1005,($A$4*12+7),'LANÇAMENTOS'!$B$6:$B$1005,"SAÍDA",'LANÇAMENTOS'!$D$6:$D$1005,$A40))</f>
        <v/>
      </c>
      <c r="I40" s="31">
        <f>IF($A40="","",SUMIFS('LANÇAMENTOS'!$G$6:$G$1005,'LANÇAMENTOS'!$I$6:$I$1005,($A$4*12+8),'LANÇAMENTOS'!$B$6:$B$1005,"SAÍDA",'LANÇAMENTOS'!$D$6:$D$1005,$A40))</f>
        <v/>
      </c>
      <c r="J40" s="31">
        <f>IF($A40="","",SUMIFS('LANÇAMENTOS'!$G$6:$G$1005,'LANÇAMENTOS'!$I$6:$I$1005,($A$4*12+9),'LANÇAMENTOS'!$B$6:$B$1005,"SAÍDA",'LANÇAMENTOS'!$D$6:$D$1005,$A40))</f>
        <v/>
      </c>
      <c r="K40" s="31">
        <f>IF($A40="","",SUMIFS('LANÇAMENTOS'!$G$6:$G$1005,'LANÇAMENTOS'!$I$6:$I$1005,($A$4*12+10),'LANÇAMENTOS'!$B$6:$B$1005,"SAÍDA",'LANÇAMENTOS'!$D$6:$D$1005,$A40))</f>
        <v/>
      </c>
      <c r="L40" s="31">
        <f>IF($A40="","",SUMIFS('LANÇAMENTOS'!$G$6:$G$1005,'LANÇAMENTOS'!$I$6:$I$1005,($A$4*12+11),'LANÇAMENTOS'!$B$6:$B$1005,"SAÍDA",'LANÇAMENTOS'!$D$6:$D$1005,$A40))</f>
        <v/>
      </c>
      <c r="M40" s="31">
        <f>IF($A40="","",SUMIFS('LANÇAMENTOS'!$G$6:$G$1005,'LANÇAMENTOS'!$I$6:$I$1005,($A$4*12+12),'LANÇAMENTOS'!$B$6:$B$1005,"SAÍDA",'LANÇAMENTOS'!$D$6:$D$1005,$A40))</f>
        <v/>
      </c>
      <c r="N40" s="43">
        <f>IF($A40="","",SUM(B40:M40))</f>
        <v/>
      </c>
    </row>
    <row r="41">
      <c r="A41" s="18">
        <f>IF(LISTAS!$B24="SAÍDA",LISTAS!$A24,"")</f>
        <v/>
      </c>
      <c r="B41" s="31">
        <f>IF($A41="","",SUMIFS('LANÇAMENTOS'!$G$6:$G$1005,'LANÇAMENTOS'!$I$6:$I$1005,($A$4*12+1),'LANÇAMENTOS'!$B$6:$B$1005,"SAÍDA",'LANÇAMENTOS'!$D$6:$D$1005,$A41))</f>
        <v/>
      </c>
      <c r="C41" s="31">
        <f>IF($A41="","",SUMIFS('LANÇAMENTOS'!$G$6:$G$1005,'LANÇAMENTOS'!$I$6:$I$1005,($A$4*12+2),'LANÇAMENTOS'!$B$6:$B$1005,"SAÍDA",'LANÇAMENTOS'!$D$6:$D$1005,$A41))</f>
        <v/>
      </c>
      <c r="D41" s="31">
        <f>IF($A41="","",SUMIFS('LANÇAMENTOS'!$G$6:$G$1005,'LANÇAMENTOS'!$I$6:$I$1005,($A$4*12+3),'LANÇAMENTOS'!$B$6:$B$1005,"SAÍDA",'LANÇAMENTOS'!$D$6:$D$1005,$A41))</f>
        <v/>
      </c>
      <c r="E41" s="31">
        <f>IF($A41="","",SUMIFS('LANÇAMENTOS'!$G$6:$G$1005,'LANÇAMENTOS'!$I$6:$I$1005,($A$4*12+4),'LANÇAMENTOS'!$B$6:$B$1005,"SAÍDA",'LANÇAMENTOS'!$D$6:$D$1005,$A41))</f>
        <v/>
      </c>
      <c r="F41" s="31">
        <f>IF($A41="","",SUMIFS('LANÇAMENTOS'!$G$6:$G$1005,'LANÇAMENTOS'!$I$6:$I$1005,($A$4*12+5),'LANÇAMENTOS'!$B$6:$B$1005,"SAÍDA",'LANÇAMENTOS'!$D$6:$D$1005,$A41))</f>
        <v/>
      </c>
      <c r="G41" s="31">
        <f>IF($A41="","",SUMIFS('LANÇAMENTOS'!$G$6:$G$1005,'LANÇAMENTOS'!$I$6:$I$1005,($A$4*12+6),'LANÇAMENTOS'!$B$6:$B$1005,"SAÍDA",'LANÇAMENTOS'!$D$6:$D$1005,$A41))</f>
        <v/>
      </c>
      <c r="H41" s="31">
        <f>IF($A41="","",SUMIFS('LANÇAMENTOS'!$G$6:$G$1005,'LANÇAMENTOS'!$I$6:$I$1005,($A$4*12+7),'LANÇAMENTOS'!$B$6:$B$1005,"SAÍDA",'LANÇAMENTOS'!$D$6:$D$1005,$A41))</f>
        <v/>
      </c>
      <c r="I41" s="31">
        <f>IF($A41="","",SUMIFS('LANÇAMENTOS'!$G$6:$G$1005,'LANÇAMENTOS'!$I$6:$I$1005,($A$4*12+8),'LANÇAMENTOS'!$B$6:$B$1005,"SAÍDA",'LANÇAMENTOS'!$D$6:$D$1005,$A41))</f>
        <v/>
      </c>
      <c r="J41" s="31">
        <f>IF($A41="","",SUMIFS('LANÇAMENTOS'!$G$6:$G$1005,'LANÇAMENTOS'!$I$6:$I$1005,($A$4*12+9),'LANÇAMENTOS'!$B$6:$B$1005,"SAÍDA",'LANÇAMENTOS'!$D$6:$D$1005,$A41))</f>
        <v/>
      </c>
      <c r="K41" s="31">
        <f>IF($A41="","",SUMIFS('LANÇAMENTOS'!$G$6:$G$1005,'LANÇAMENTOS'!$I$6:$I$1005,($A$4*12+10),'LANÇAMENTOS'!$B$6:$B$1005,"SAÍDA",'LANÇAMENTOS'!$D$6:$D$1005,$A41))</f>
        <v/>
      </c>
      <c r="L41" s="31">
        <f>IF($A41="","",SUMIFS('LANÇAMENTOS'!$G$6:$G$1005,'LANÇAMENTOS'!$I$6:$I$1005,($A$4*12+11),'LANÇAMENTOS'!$B$6:$B$1005,"SAÍDA",'LANÇAMENTOS'!$D$6:$D$1005,$A41))</f>
        <v/>
      </c>
      <c r="M41" s="31">
        <f>IF($A41="","",SUMIFS('LANÇAMENTOS'!$G$6:$G$1005,'LANÇAMENTOS'!$I$6:$I$1005,($A$4*12+12),'LANÇAMENTOS'!$B$6:$B$1005,"SAÍDA",'LANÇAMENTOS'!$D$6:$D$1005,$A41))</f>
        <v/>
      </c>
      <c r="N41" s="43">
        <f>IF($A41="","",SUM(B41:M41))</f>
        <v/>
      </c>
    </row>
    <row r="42">
      <c r="A42" s="18">
        <f>IF(LISTAS!$B25="SAÍDA",LISTAS!$A25,"")</f>
        <v/>
      </c>
      <c r="B42" s="31">
        <f>IF($A42="","",SUMIFS('LANÇAMENTOS'!$G$6:$G$1005,'LANÇAMENTOS'!$I$6:$I$1005,($A$4*12+1),'LANÇAMENTOS'!$B$6:$B$1005,"SAÍDA",'LANÇAMENTOS'!$D$6:$D$1005,$A42))</f>
        <v/>
      </c>
      <c r="C42" s="31">
        <f>IF($A42="","",SUMIFS('LANÇAMENTOS'!$G$6:$G$1005,'LANÇAMENTOS'!$I$6:$I$1005,($A$4*12+2),'LANÇAMENTOS'!$B$6:$B$1005,"SAÍDA",'LANÇAMENTOS'!$D$6:$D$1005,$A42))</f>
        <v/>
      </c>
      <c r="D42" s="31">
        <f>IF($A42="","",SUMIFS('LANÇAMENTOS'!$G$6:$G$1005,'LANÇAMENTOS'!$I$6:$I$1005,($A$4*12+3),'LANÇAMENTOS'!$B$6:$B$1005,"SAÍDA",'LANÇAMENTOS'!$D$6:$D$1005,$A42))</f>
        <v/>
      </c>
      <c r="E42" s="31">
        <f>IF($A42="","",SUMIFS('LANÇAMENTOS'!$G$6:$G$1005,'LANÇAMENTOS'!$I$6:$I$1005,($A$4*12+4),'LANÇAMENTOS'!$B$6:$B$1005,"SAÍDA",'LANÇAMENTOS'!$D$6:$D$1005,$A42))</f>
        <v/>
      </c>
      <c r="F42" s="31">
        <f>IF($A42="","",SUMIFS('LANÇAMENTOS'!$G$6:$G$1005,'LANÇAMENTOS'!$I$6:$I$1005,($A$4*12+5),'LANÇAMENTOS'!$B$6:$B$1005,"SAÍDA",'LANÇAMENTOS'!$D$6:$D$1005,$A42))</f>
        <v/>
      </c>
      <c r="G42" s="31">
        <f>IF($A42="","",SUMIFS('LANÇAMENTOS'!$G$6:$G$1005,'LANÇAMENTOS'!$I$6:$I$1005,($A$4*12+6),'LANÇAMENTOS'!$B$6:$B$1005,"SAÍDA",'LANÇAMENTOS'!$D$6:$D$1005,$A42))</f>
        <v/>
      </c>
      <c r="H42" s="31">
        <f>IF($A42="","",SUMIFS('LANÇAMENTOS'!$G$6:$G$1005,'LANÇAMENTOS'!$I$6:$I$1005,($A$4*12+7),'LANÇAMENTOS'!$B$6:$B$1005,"SAÍDA",'LANÇAMENTOS'!$D$6:$D$1005,$A42))</f>
        <v/>
      </c>
      <c r="I42" s="31">
        <f>IF($A42="","",SUMIFS('LANÇAMENTOS'!$G$6:$G$1005,'LANÇAMENTOS'!$I$6:$I$1005,($A$4*12+8),'LANÇAMENTOS'!$B$6:$B$1005,"SAÍDA",'LANÇAMENTOS'!$D$6:$D$1005,$A42))</f>
        <v/>
      </c>
      <c r="J42" s="31">
        <f>IF($A42="","",SUMIFS('LANÇAMENTOS'!$G$6:$G$1005,'LANÇAMENTOS'!$I$6:$I$1005,($A$4*12+9),'LANÇAMENTOS'!$B$6:$B$1005,"SAÍDA",'LANÇAMENTOS'!$D$6:$D$1005,$A42))</f>
        <v/>
      </c>
      <c r="K42" s="31">
        <f>IF($A42="","",SUMIFS('LANÇAMENTOS'!$G$6:$G$1005,'LANÇAMENTOS'!$I$6:$I$1005,($A$4*12+10),'LANÇAMENTOS'!$B$6:$B$1005,"SAÍDA",'LANÇAMENTOS'!$D$6:$D$1005,$A42))</f>
        <v/>
      </c>
      <c r="L42" s="31">
        <f>IF($A42="","",SUMIFS('LANÇAMENTOS'!$G$6:$G$1005,'LANÇAMENTOS'!$I$6:$I$1005,($A$4*12+11),'LANÇAMENTOS'!$B$6:$B$1005,"SAÍDA",'LANÇAMENTOS'!$D$6:$D$1005,$A42))</f>
        <v/>
      </c>
      <c r="M42" s="31">
        <f>IF($A42="","",SUMIFS('LANÇAMENTOS'!$G$6:$G$1005,'LANÇAMENTOS'!$I$6:$I$1005,($A$4*12+12),'LANÇAMENTOS'!$B$6:$B$1005,"SAÍDA",'LANÇAMENTOS'!$D$6:$D$1005,$A42))</f>
        <v/>
      </c>
      <c r="N42" s="43">
        <f>IF($A42="","",SUM(B42:M42))</f>
        <v/>
      </c>
    </row>
    <row r="43">
      <c r="A43" s="18">
        <f>IF(LISTAS!$B26="SAÍDA",LISTAS!$A26,"")</f>
        <v/>
      </c>
      <c r="B43" s="31">
        <f>IF($A43="","",SUMIFS('LANÇAMENTOS'!$G$6:$G$1005,'LANÇAMENTOS'!$I$6:$I$1005,($A$4*12+1),'LANÇAMENTOS'!$B$6:$B$1005,"SAÍDA",'LANÇAMENTOS'!$D$6:$D$1005,$A43))</f>
        <v/>
      </c>
      <c r="C43" s="31">
        <f>IF($A43="","",SUMIFS('LANÇAMENTOS'!$G$6:$G$1005,'LANÇAMENTOS'!$I$6:$I$1005,($A$4*12+2),'LANÇAMENTOS'!$B$6:$B$1005,"SAÍDA",'LANÇAMENTOS'!$D$6:$D$1005,$A43))</f>
        <v/>
      </c>
      <c r="D43" s="31">
        <f>IF($A43="","",SUMIFS('LANÇAMENTOS'!$G$6:$G$1005,'LANÇAMENTOS'!$I$6:$I$1005,($A$4*12+3),'LANÇAMENTOS'!$B$6:$B$1005,"SAÍDA",'LANÇAMENTOS'!$D$6:$D$1005,$A43))</f>
        <v/>
      </c>
      <c r="E43" s="31">
        <f>IF($A43="","",SUMIFS('LANÇAMENTOS'!$G$6:$G$1005,'LANÇAMENTOS'!$I$6:$I$1005,($A$4*12+4),'LANÇAMENTOS'!$B$6:$B$1005,"SAÍDA",'LANÇAMENTOS'!$D$6:$D$1005,$A43))</f>
        <v/>
      </c>
      <c r="F43" s="31">
        <f>IF($A43="","",SUMIFS('LANÇAMENTOS'!$G$6:$G$1005,'LANÇAMENTOS'!$I$6:$I$1005,($A$4*12+5),'LANÇAMENTOS'!$B$6:$B$1005,"SAÍDA",'LANÇAMENTOS'!$D$6:$D$1005,$A43))</f>
        <v/>
      </c>
      <c r="G43" s="31">
        <f>IF($A43="","",SUMIFS('LANÇAMENTOS'!$G$6:$G$1005,'LANÇAMENTOS'!$I$6:$I$1005,($A$4*12+6),'LANÇAMENTOS'!$B$6:$B$1005,"SAÍDA",'LANÇAMENTOS'!$D$6:$D$1005,$A43))</f>
        <v/>
      </c>
      <c r="H43" s="31">
        <f>IF($A43="","",SUMIFS('LANÇAMENTOS'!$G$6:$G$1005,'LANÇAMENTOS'!$I$6:$I$1005,($A$4*12+7),'LANÇAMENTOS'!$B$6:$B$1005,"SAÍDA",'LANÇAMENTOS'!$D$6:$D$1005,$A43))</f>
        <v/>
      </c>
      <c r="I43" s="31">
        <f>IF($A43="","",SUMIFS('LANÇAMENTOS'!$G$6:$G$1005,'LANÇAMENTOS'!$I$6:$I$1005,($A$4*12+8),'LANÇAMENTOS'!$B$6:$B$1005,"SAÍDA",'LANÇAMENTOS'!$D$6:$D$1005,$A43))</f>
        <v/>
      </c>
      <c r="J43" s="31">
        <f>IF($A43="","",SUMIFS('LANÇAMENTOS'!$G$6:$G$1005,'LANÇAMENTOS'!$I$6:$I$1005,($A$4*12+9),'LANÇAMENTOS'!$B$6:$B$1005,"SAÍDA",'LANÇAMENTOS'!$D$6:$D$1005,$A43))</f>
        <v/>
      </c>
      <c r="K43" s="31">
        <f>IF($A43="","",SUMIFS('LANÇAMENTOS'!$G$6:$G$1005,'LANÇAMENTOS'!$I$6:$I$1005,($A$4*12+10),'LANÇAMENTOS'!$B$6:$B$1005,"SAÍDA",'LANÇAMENTOS'!$D$6:$D$1005,$A43))</f>
        <v/>
      </c>
      <c r="L43" s="31">
        <f>IF($A43="","",SUMIFS('LANÇAMENTOS'!$G$6:$G$1005,'LANÇAMENTOS'!$I$6:$I$1005,($A$4*12+11),'LANÇAMENTOS'!$B$6:$B$1005,"SAÍDA",'LANÇAMENTOS'!$D$6:$D$1005,$A43))</f>
        <v/>
      </c>
      <c r="M43" s="31">
        <f>IF($A43="","",SUMIFS('LANÇAMENTOS'!$G$6:$G$1005,'LANÇAMENTOS'!$I$6:$I$1005,($A$4*12+12),'LANÇAMENTOS'!$B$6:$B$1005,"SAÍDA",'LANÇAMENTOS'!$D$6:$D$1005,$A43))</f>
        <v/>
      </c>
      <c r="N43" s="43">
        <f>IF($A43="","",SUM(B43:M43))</f>
        <v/>
      </c>
    </row>
    <row r="44">
      <c r="A44" s="18">
        <f>IF(LISTAS!$B27="SAÍDA",LISTAS!$A27,"")</f>
        <v/>
      </c>
      <c r="B44" s="31">
        <f>IF($A44="","",SUMIFS('LANÇAMENTOS'!$G$6:$G$1005,'LANÇAMENTOS'!$I$6:$I$1005,($A$4*12+1),'LANÇAMENTOS'!$B$6:$B$1005,"SAÍDA",'LANÇAMENTOS'!$D$6:$D$1005,$A44))</f>
        <v/>
      </c>
      <c r="C44" s="31">
        <f>IF($A44="","",SUMIFS('LANÇAMENTOS'!$G$6:$G$1005,'LANÇAMENTOS'!$I$6:$I$1005,($A$4*12+2),'LANÇAMENTOS'!$B$6:$B$1005,"SAÍDA",'LANÇAMENTOS'!$D$6:$D$1005,$A44))</f>
        <v/>
      </c>
      <c r="D44" s="31">
        <f>IF($A44="","",SUMIFS('LANÇAMENTOS'!$G$6:$G$1005,'LANÇAMENTOS'!$I$6:$I$1005,($A$4*12+3),'LANÇAMENTOS'!$B$6:$B$1005,"SAÍDA",'LANÇAMENTOS'!$D$6:$D$1005,$A44))</f>
        <v/>
      </c>
      <c r="E44" s="31">
        <f>IF($A44="","",SUMIFS('LANÇAMENTOS'!$G$6:$G$1005,'LANÇAMENTOS'!$I$6:$I$1005,($A$4*12+4),'LANÇAMENTOS'!$B$6:$B$1005,"SAÍDA",'LANÇAMENTOS'!$D$6:$D$1005,$A44))</f>
        <v/>
      </c>
      <c r="F44" s="31">
        <f>IF($A44="","",SUMIFS('LANÇAMENTOS'!$G$6:$G$1005,'LANÇAMENTOS'!$I$6:$I$1005,($A$4*12+5),'LANÇAMENTOS'!$B$6:$B$1005,"SAÍDA",'LANÇAMENTOS'!$D$6:$D$1005,$A44))</f>
        <v/>
      </c>
      <c r="G44" s="31">
        <f>IF($A44="","",SUMIFS('LANÇAMENTOS'!$G$6:$G$1005,'LANÇAMENTOS'!$I$6:$I$1005,($A$4*12+6),'LANÇAMENTOS'!$B$6:$B$1005,"SAÍDA",'LANÇAMENTOS'!$D$6:$D$1005,$A44))</f>
        <v/>
      </c>
      <c r="H44" s="31">
        <f>IF($A44="","",SUMIFS('LANÇAMENTOS'!$G$6:$G$1005,'LANÇAMENTOS'!$I$6:$I$1005,($A$4*12+7),'LANÇAMENTOS'!$B$6:$B$1005,"SAÍDA",'LANÇAMENTOS'!$D$6:$D$1005,$A44))</f>
        <v/>
      </c>
      <c r="I44" s="31">
        <f>IF($A44="","",SUMIFS('LANÇAMENTOS'!$G$6:$G$1005,'LANÇAMENTOS'!$I$6:$I$1005,($A$4*12+8),'LANÇAMENTOS'!$B$6:$B$1005,"SAÍDA",'LANÇAMENTOS'!$D$6:$D$1005,$A44))</f>
        <v/>
      </c>
      <c r="J44" s="31">
        <f>IF($A44="","",SUMIFS('LANÇAMENTOS'!$G$6:$G$1005,'LANÇAMENTOS'!$I$6:$I$1005,($A$4*12+9),'LANÇAMENTOS'!$B$6:$B$1005,"SAÍDA",'LANÇAMENTOS'!$D$6:$D$1005,$A44))</f>
        <v/>
      </c>
      <c r="K44" s="31">
        <f>IF($A44="","",SUMIFS('LANÇAMENTOS'!$G$6:$G$1005,'LANÇAMENTOS'!$I$6:$I$1005,($A$4*12+10),'LANÇAMENTOS'!$B$6:$B$1005,"SAÍDA",'LANÇAMENTOS'!$D$6:$D$1005,$A44))</f>
        <v/>
      </c>
      <c r="L44" s="31">
        <f>IF($A44="","",SUMIFS('LANÇAMENTOS'!$G$6:$G$1005,'LANÇAMENTOS'!$I$6:$I$1005,($A$4*12+11),'LANÇAMENTOS'!$B$6:$B$1005,"SAÍDA",'LANÇAMENTOS'!$D$6:$D$1005,$A44))</f>
        <v/>
      </c>
      <c r="M44" s="31">
        <f>IF($A44="","",SUMIFS('LANÇAMENTOS'!$G$6:$G$1005,'LANÇAMENTOS'!$I$6:$I$1005,($A$4*12+12),'LANÇAMENTOS'!$B$6:$B$1005,"SAÍDA",'LANÇAMENTOS'!$D$6:$D$1005,$A44))</f>
        <v/>
      </c>
      <c r="N44" s="43">
        <f>IF($A44="","",SUM(B44:M44))</f>
        <v/>
      </c>
    </row>
    <row r="45">
      <c r="A45" s="18">
        <f>IF(LISTAS!$B28="SAÍDA",LISTAS!$A28,"")</f>
        <v/>
      </c>
      <c r="B45" s="31">
        <f>IF($A45="","",SUMIFS('LANÇAMENTOS'!$G$6:$G$1005,'LANÇAMENTOS'!$I$6:$I$1005,($A$4*12+1),'LANÇAMENTOS'!$B$6:$B$1005,"SAÍDA",'LANÇAMENTOS'!$D$6:$D$1005,$A45))</f>
        <v/>
      </c>
      <c r="C45" s="31">
        <f>IF($A45="","",SUMIFS('LANÇAMENTOS'!$G$6:$G$1005,'LANÇAMENTOS'!$I$6:$I$1005,($A$4*12+2),'LANÇAMENTOS'!$B$6:$B$1005,"SAÍDA",'LANÇAMENTOS'!$D$6:$D$1005,$A45))</f>
        <v/>
      </c>
      <c r="D45" s="31">
        <f>IF($A45="","",SUMIFS('LANÇAMENTOS'!$G$6:$G$1005,'LANÇAMENTOS'!$I$6:$I$1005,($A$4*12+3),'LANÇAMENTOS'!$B$6:$B$1005,"SAÍDA",'LANÇAMENTOS'!$D$6:$D$1005,$A45))</f>
        <v/>
      </c>
      <c r="E45" s="31">
        <f>IF($A45="","",SUMIFS('LANÇAMENTOS'!$G$6:$G$1005,'LANÇAMENTOS'!$I$6:$I$1005,($A$4*12+4),'LANÇAMENTOS'!$B$6:$B$1005,"SAÍDA",'LANÇAMENTOS'!$D$6:$D$1005,$A45))</f>
        <v/>
      </c>
      <c r="F45" s="31">
        <f>IF($A45="","",SUMIFS('LANÇAMENTOS'!$G$6:$G$1005,'LANÇAMENTOS'!$I$6:$I$1005,($A$4*12+5),'LANÇAMENTOS'!$B$6:$B$1005,"SAÍDA",'LANÇAMENTOS'!$D$6:$D$1005,$A45))</f>
        <v/>
      </c>
      <c r="G45" s="31">
        <f>IF($A45="","",SUMIFS('LANÇAMENTOS'!$G$6:$G$1005,'LANÇAMENTOS'!$I$6:$I$1005,($A$4*12+6),'LANÇAMENTOS'!$B$6:$B$1005,"SAÍDA",'LANÇAMENTOS'!$D$6:$D$1005,$A45))</f>
        <v/>
      </c>
      <c r="H45" s="31">
        <f>IF($A45="","",SUMIFS('LANÇAMENTOS'!$G$6:$G$1005,'LANÇAMENTOS'!$I$6:$I$1005,($A$4*12+7),'LANÇAMENTOS'!$B$6:$B$1005,"SAÍDA",'LANÇAMENTOS'!$D$6:$D$1005,$A45))</f>
        <v/>
      </c>
      <c r="I45" s="31">
        <f>IF($A45="","",SUMIFS('LANÇAMENTOS'!$G$6:$G$1005,'LANÇAMENTOS'!$I$6:$I$1005,($A$4*12+8),'LANÇAMENTOS'!$B$6:$B$1005,"SAÍDA",'LANÇAMENTOS'!$D$6:$D$1005,$A45))</f>
        <v/>
      </c>
      <c r="J45" s="31">
        <f>IF($A45="","",SUMIFS('LANÇAMENTOS'!$G$6:$G$1005,'LANÇAMENTOS'!$I$6:$I$1005,($A$4*12+9),'LANÇAMENTOS'!$B$6:$B$1005,"SAÍDA",'LANÇAMENTOS'!$D$6:$D$1005,$A45))</f>
        <v/>
      </c>
      <c r="K45" s="31">
        <f>IF($A45="","",SUMIFS('LANÇAMENTOS'!$G$6:$G$1005,'LANÇAMENTOS'!$I$6:$I$1005,($A$4*12+10),'LANÇAMENTOS'!$B$6:$B$1005,"SAÍDA",'LANÇAMENTOS'!$D$6:$D$1005,$A45))</f>
        <v/>
      </c>
      <c r="L45" s="31">
        <f>IF($A45="","",SUMIFS('LANÇAMENTOS'!$G$6:$G$1005,'LANÇAMENTOS'!$I$6:$I$1005,($A$4*12+11),'LANÇAMENTOS'!$B$6:$B$1005,"SAÍDA",'LANÇAMENTOS'!$D$6:$D$1005,$A45))</f>
        <v/>
      </c>
      <c r="M45" s="31">
        <f>IF($A45="","",SUMIFS('LANÇAMENTOS'!$G$6:$G$1005,'LANÇAMENTOS'!$I$6:$I$1005,($A$4*12+12),'LANÇAMENTOS'!$B$6:$B$1005,"SAÍDA",'LANÇAMENTOS'!$D$6:$D$1005,$A45))</f>
        <v/>
      </c>
      <c r="N45" s="43">
        <f>IF($A45="","",SUM(B45:M45))</f>
        <v/>
      </c>
    </row>
    <row r="46">
      <c r="A46" s="18">
        <f>IF(LISTAS!$B29="SAÍDA",LISTAS!$A29,"")</f>
        <v/>
      </c>
      <c r="B46" s="31">
        <f>IF($A46="","",SUMIFS('LANÇAMENTOS'!$G$6:$G$1005,'LANÇAMENTOS'!$I$6:$I$1005,($A$4*12+1),'LANÇAMENTOS'!$B$6:$B$1005,"SAÍDA",'LANÇAMENTOS'!$D$6:$D$1005,$A46))</f>
        <v/>
      </c>
      <c r="C46" s="31">
        <f>IF($A46="","",SUMIFS('LANÇAMENTOS'!$G$6:$G$1005,'LANÇAMENTOS'!$I$6:$I$1005,($A$4*12+2),'LANÇAMENTOS'!$B$6:$B$1005,"SAÍDA",'LANÇAMENTOS'!$D$6:$D$1005,$A46))</f>
        <v/>
      </c>
      <c r="D46" s="31">
        <f>IF($A46="","",SUMIFS('LANÇAMENTOS'!$G$6:$G$1005,'LANÇAMENTOS'!$I$6:$I$1005,($A$4*12+3),'LANÇAMENTOS'!$B$6:$B$1005,"SAÍDA",'LANÇAMENTOS'!$D$6:$D$1005,$A46))</f>
        <v/>
      </c>
      <c r="E46" s="31">
        <f>IF($A46="","",SUMIFS('LANÇAMENTOS'!$G$6:$G$1005,'LANÇAMENTOS'!$I$6:$I$1005,($A$4*12+4),'LANÇAMENTOS'!$B$6:$B$1005,"SAÍDA",'LANÇAMENTOS'!$D$6:$D$1005,$A46))</f>
        <v/>
      </c>
      <c r="F46" s="31">
        <f>IF($A46="","",SUMIFS('LANÇAMENTOS'!$G$6:$G$1005,'LANÇAMENTOS'!$I$6:$I$1005,($A$4*12+5),'LANÇAMENTOS'!$B$6:$B$1005,"SAÍDA",'LANÇAMENTOS'!$D$6:$D$1005,$A46))</f>
        <v/>
      </c>
      <c r="G46" s="31">
        <f>IF($A46="","",SUMIFS('LANÇAMENTOS'!$G$6:$G$1005,'LANÇAMENTOS'!$I$6:$I$1005,($A$4*12+6),'LANÇAMENTOS'!$B$6:$B$1005,"SAÍDA",'LANÇAMENTOS'!$D$6:$D$1005,$A46))</f>
        <v/>
      </c>
      <c r="H46" s="31">
        <f>IF($A46="","",SUMIFS('LANÇAMENTOS'!$G$6:$G$1005,'LANÇAMENTOS'!$I$6:$I$1005,($A$4*12+7),'LANÇAMENTOS'!$B$6:$B$1005,"SAÍDA",'LANÇAMENTOS'!$D$6:$D$1005,$A46))</f>
        <v/>
      </c>
      <c r="I46" s="31">
        <f>IF($A46="","",SUMIFS('LANÇAMENTOS'!$G$6:$G$1005,'LANÇAMENTOS'!$I$6:$I$1005,($A$4*12+8),'LANÇAMENTOS'!$B$6:$B$1005,"SAÍDA",'LANÇAMENTOS'!$D$6:$D$1005,$A46))</f>
        <v/>
      </c>
      <c r="J46" s="31">
        <f>IF($A46="","",SUMIFS('LANÇAMENTOS'!$G$6:$G$1005,'LANÇAMENTOS'!$I$6:$I$1005,($A$4*12+9),'LANÇAMENTOS'!$B$6:$B$1005,"SAÍDA",'LANÇAMENTOS'!$D$6:$D$1005,$A46))</f>
        <v/>
      </c>
      <c r="K46" s="31">
        <f>IF($A46="","",SUMIFS('LANÇAMENTOS'!$G$6:$G$1005,'LANÇAMENTOS'!$I$6:$I$1005,($A$4*12+10),'LANÇAMENTOS'!$B$6:$B$1005,"SAÍDA",'LANÇAMENTOS'!$D$6:$D$1005,$A46))</f>
        <v/>
      </c>
      <c r="L46" s="31">
        <f>IF($A46="","",SUMIFS('LANÇAMENTOS'!$G$6:$G$1005,'LANÇAMENTOS'!$I$6:$I$1005,($A$4*12+11),'LANÇAMENTOS'!$B$6:$B$1005,"SAÍDA",'LANÇAMENTOS'!$D$6:$D$1005,$A46))</f>
        <v/>
      </c>
      <c r="M46" s="31">
        <f>IF($A46="","",SUMIFS('LANÇAMENTOS'!$G$6:$G$1005,'LANÇAMENTOS'!$I$6:$I$1005,($A$4*12+12),'LANÇAMENTOS'!$B$6:$B$1005,"SAÍDA",'LANÇAMENTOS'!$D$6:$D$1005,$A46))</f>
        <v/>
      </c>
      <c r="N46" s="43">
        <f>IF($A46="","",SUM(B46:M46))</f>
        <v/>
      </c>
    </row>
    <row r="47">
      <c r="A47" s="18">
        <f>IF(LISTAS!$B30="SAÍDA",LISTAS!$A30,"")</f>
        <v/>
      </c>
      <c r="B47" s="31">
        <f>IF($A47="","",SUMIFS('LANÇAMENTOS'!$G$6:$G$1005,'LANÇAMENTOS'!$I$6:$I$1005,($A$4*12+1),'LANÇAMENTOS'!$B$6:$B$1005,"SAÍDA",'LANÇAMENTOS'!$D$6:$D$1005,$A47))</f>
        <v/>
      </c>
      <c r="C47" s="31">
        <f>IF($A47="","",SUMIFS('LANÇAMENTOS'!$G$6:$G$1005,'LANÇAMENTOS'!$I$6:$I$1005,($A$4*12+2),'LANÇAMENTOS'!$B$6:$B$1005,"SAÍDA",'LANÇAMENTOS'!$D$6:$D$1005,$A47))</f>
        <v/>
      </c>
      <c r="D47" s="31">
        <f>IF($A47="","",SUMIFS('LANÇAMENTOS'!$G$6:$G$1005,'LANÇAMENTOS'!$I$6:$I$1005,($A$4*12+3),'LANÇAMENTOS'!$B$6:$B$1005,"SAÍDA",'LANÇAMENTOS'!$D$6:$D$1005,$A47))</f>
        <v/>
      </c>
      <c r="E47" s="31">
        <f>IF($A47="","",SUMIFS('LANÇAMENTOS'!$G$6:$G$1005,'LANÇAMENTOS'!$I$6:$I$1005,($A$4*12+4),'LANÇAMENTOS'!$B$6:$B$1005,"SAÍDA",'LANÇAMENTOS'!$D$6:$D$1005,$A47))</f>
        <v/>
      </c>
      <c r="F47" s="31">
        <f>IF($A47="","",SUMIFS('LANÇAMENTOS'!$G$6:$G$1005,'LANÇAMENTOS'!$I$6:$I$1005,($A$4*12+5),'LANÇAMENTOS'!$B$6:$B$1005,"SAÍDA",'LANÇAMENTOS'!$D$6:$D$1005,$A47))</f>
        <v/>
      </c>
      <c r="G47" s="31">
        <f>IF($A47="","",SUMIFS('LANÇAMENTOS'!$G$6:$G$1005,'LANÇAMENTOS'!$I$6:$I$1005,($A$4*12+6),'LANÇAMENTOS'!$B$6:$B$1005,"SAÍDA",'LANÇAMENTOS'!$D$6:$D$1005,$A47))</f>
        <v/>
      </c>
      <c r="H47" s="31">
        <f>IF($A47="","",SUMIFS('LANÇAMENTOS'!$G$6:$G$1005,'LANÇAMENTOS'!$I$6:$I$1005,($A$4*12+7),'LANÇAMENTOS'!$B$6:$B$1005,"SAÍDA",'LANÇAMENTOS'!$D$6:$D$1005,$A47))</f>
        <v/>
      </c>
      <c r="I47" s="31">
        <f>IF($A47="","",SUMIFS('LANÇAMENTOS'!$G$6:$G$1005,'LANÇAMENTOS'!$I$6:$I$1005,($A$4*12+8),'LANÇAMENTOS'!$B$6:$B$1005,"SAÍDA",'LANÇAMENTOS'!$D$6:$D$1005,$A47))</f>
        <v/>
      </c>
      <c r="J47" s="31">
        <f>IF($A47="","",SUMIFS('LANÇAMENTOS'!$G$6:$G$1005,'LANÇAMENTOS'!$I$6:$I$1005,($A$4*12+9),'LANÇAMENTOS'!$B$6:$B$1005,"SAÍDA",'LANÇAMENTOS'!$D$6:$D$1005,$A47))</f>
        <v/>
      </c>
      <c r="K47" s="31">
        <f>IF($A47="","",SUMIFS('LANÇAMENTOS'!$G$6:$G$1005,'LANÇAMENTOS'!$I$6:$I$1005,($A$4*12+10),'LANÇAMENTOS'!$B$6:$B$1005,"SAÍDA",'LANÇAMENTOS'!$D$6:$D$1005,$A47))</f>
        <v/>
      </c>
      <c r="L47" s="31">
        <f>IF($A47="","",SUMIFS('LANÇAMENTOS'!$G$6:$G$1005,'LANÇAMENTOS'!$I$6:$I$1005,($A$4*12+11),'LANÇAMENTOS'!$B$6:$B$1005,"SAÍDA",'LANÇAMENTOS'!$D$6:$D$1005,$A47))</f>
        <v/>
      </c>
      <c r="M47" s="31">
        <f>IF($A47="","",SUMIFS('LANÇAMENTOS'!$G$6:$G$1005,'LANÇAMENTOS'!$I$6:$I$1005,($A$4*12+12),'LANÇAMENTOS'!$B$6:$B$1005,"SAÍDA",'LANÇAMENTOS'!$D$6:$D$1005,$A47))</f>
        <v/>
      </c>
      <c r="N47" s="43">
        <f>IF($A47="","",SUM(B47:M47))</f>
        <v/>
      </c>
    </row>
    <row r="48">
      <c r="A48" s="18">
        <f>IF(LISTAS!$B31="SAÍDA",LISTAS!$A31,"")</f>
        <v/>
      </c>
      <c r="B48" s="31">
        <f>IF($A48="","",SUMIFS('LANÇAMENTOS'!$G$6:$G$1005,'LANÇAMENTOS'!$I$6:$I$1005,($A$4*12+1),'LANÇAMENTOS'!$B$6:$B$1005,"SAÍDA",'LANÇAMENTOS'!$D$6:$D$1005,$A48))</f>
        <v/>
      </c>
      <c r="C48" s="31">
        <f>IF($A48="","",SUMIFS('LANÇAMENTOS'!$G$6:$G$1005,'LANÇAMENTOS'!$I$6:$I$1005,($A$4*12+2),'LANÇAMENTOS'!$B$6:$B$1005,"SAÍDA",'LANÇAMENTOS'!$D$6:$D$1005,$A48))</f>
        <v/>
      </c>
      <c r="D48" s="31">
        <f>IF($A48="","",SUMIFS('LANÇAMENTOS'!$G$6:$G$1005,'LANÇAMENTOS'!$I$6:$I$1005,($A$4*12+3),'LANÇAMENTOS'!$B$6:$B$1005,"SAÍDA",'LANÇAMENTOS'!$D$6:$D$1005,$A48))</f>
        <v/>
      </c>
      <c r="E48" s="31">
        <f>IF($A48="","",SUMIFS('LANÇAMENTOS'!$G$6:$G$1005,'LANÇAMENTOS'!$I$6:$I$1005,($A$4*12+4),'LANÇAMENTOS'!$B$6:$B$1005,"SAÍDA",'LANÇAMENTOS'!$D$6:$D$1005,$A48))</f>
        <v/>
      </c>
      <c r="F48" s="31">
        <f>IF($A48="","",SUMIFS('LANÇAMENTOS'!$G$6:$G$1005,'LANÇAMENTOS'!$I$6:$I$1005,($A$4*12+5),'LANÇAMENTOS'!$B$6:$B$1005,"SAÍDA",'LANÇAMENTOS'!$D$6:$D$1005,$A48))</f>
        <v/>
      </c>
      <c r="G48" s="31">
        <f>IF($A48="","",SUMIFS('LANÇAMENTOS'!$G$6:$G$1005,'LANÇAMENTOS'!$I$6:$I$1005,($A$4*12+6),'LANÇAMENTOS'!$B$6:$B$1005,"SAÍDA",'LANÇAMENTOS'!$D$6:$D$1005,$A48))</f>
        <v/>
      </c>
      <c r="H48" s="31">
        <f>IF($A48="","",SUMIFS('LANÇAMENTOS'!$G$6:$G$1005,'LANÇAMENTOS'!$I$6:$I$1005,($A$4*12+7),'LANÇAMENTOS'!$B$6:$B$1005,"SAÍDA",'LANÇAMENTOS'!$D$6:$D$1005,$A48))</f>
        <v/>
      </c>
      <c r="I48" s="31">
        <f>IF($A48="","",SUMIFS('LANÇAMENTOS'!$G$6:$G$1005,'LANÇAMENTOS'!$I$6:$I$1005,($A$4*12+8),'LANÇAMENTOS'!$B$6:$B$1005,"SAÍDA",'LANÇAMENTOS'!$D$6:$D$1005,$A48))</f>
        <v/>
      </c>
      <c r="J48" s="31">
        <f>IF($A48="","",SUMIFS('LANÇAMENTOS'!$G$6:$G$1005,'LANÇAMENTOS'!$I$6:$I$1005,($A$4*12+9),'LANÇAMENTOS'!$B$6:$B$1005,"SAÍDA",'LANÇAMENTOS'!$D$6:$D$1005,$A48))</f>
        <v/>
      </c>
      <c r="K48" s="31">
        <f>IF($A48="","",SUMIFS('LANÇAMENTOS'!$G$6:$G$1005,'LANÇAMENTOS'!$I$6:$I$1005,($A$4*12+10),'LANÇAMENTOS'!$B$6:$B$1005,"SAÍDA",'LANÇAMENTOS'!$D$6:$D$1005,$A48))</f>
        <v/>
      </c>
      <c r="L48" s="31">
        <f>IF($A48="","",SUMIFS('LANÇAMENTOS'!$G$6:$G$1005,'LANÇAMENTOS'!$I$6:$I$1005,($A$4*12+11),'LANÇAMENTOS'!$B$6:$B$1005,"SAÍDA",'LANÇAMENTOS'!$D$6:$D$1005,$A48))</f>
        <v/>
      </c>
      <c r="M48" s="31">
        <f>IF($A48="","",SUMIFS('LANÇAMENTOS'!$G$6:$G$1005,'LANÇAMENTOS'!$I$6:$I$1005,($A$4*12+12),'LANÇAMENTOS'!$B$6:$B$1005,"SAÍDA",'LANÇAMENTOS'!$D$6:$D$1005,$A48))</f>
        <v/>
      </c>
      <c r="N48" s="43">
        <f>IF($A48="","",SUM(B48:M48))</f>
        <v/>
      </c>
    </row>
    <row r="49">
      <c r="A49" s="18">
        <f>IF(LISTAS!$B32="SAÍDA",LISTAS!$A32,"")</f>
        <v/>
      </c>
      <c r="B49" s="31">
        <f>IF($A49="","",SUMIFS('LANÇAMENTOS'!$G$6:$G$1005,'LANÇAMENTOS'!$I$6:$I$1005,($A$4*12+1),'LANÇAMENTOS'!$B$6:$B$1005,"SAÍDA",'LANÇAMENTOS'!$D$6:$D$1005,$A49))</f>
        <v/>
      </c>
      <c r="C49" s="31">
        <f>IF($A49="","",SUMIFS('LANÇAMENTOS'!$G$6:$G$1005,'LANÇAMENTOS'!$I$6:$I$1005,($A$4*12+2),'LANÇAMENTOS'!$B$6:$B$1005,"SAÍDA",'LANÇAMENTOS'!$D$6:$D$1005,$A49))</f>
        <v/>
      </c>
      <c r="D49" s="31">
        <f>IF($A49="","",SUMIFS('LANÇAMENTOS'!$G$6:$G$1005,'LANÇAMENTOS'!$I$6:$I$1005,($A$4*12+3),'LANÇAMENTOS'!$B$6:$B$1005,"SAÍDA",'LANÇAMENTOS'!$D$6:$D$1005,$A49))</f>
        <v/>
      </c>
      <c r="E49" s="31">
        <f>IF($A49="","",SUMIFS('LANÇAMENTOS'!$G$6:$G$1005,'LANÇAMENTOS'!$I$6:$I$1005,($A$4*12+4),'LANÇAMENTOS'!$B$6:$B$1005,"SAÍDA",'LANÇAMENTOS'!$D$6:$D$1005,$A49))</f>
        <v/>
      </c>
      <c r="F49" s="31">
        <f>IF($A49="","",SUMIFS('LANÇAMENTOS'!$G$6:$G$1005,'LANÇAMENTOS'!$I$6:$I$1005,($A$4*12+5),'LANÇAMENTOS'!$B$6:$B$1005,"SAÍDA",'LANÇAMENTOS'!$D$6:$D$1005,$A49))</f>
        <v/>
      </c>
      <c r="G49" s="31">
        <f>IF($A49="","",SUMIFS('LANÇAMENTOS'!$G$6:$G$1005,'LANÇAMENTOS'!$I$6:$I$1005,($A$4*12+6),'LANÇAMENTOS'!$B$6:$B$1005,"SAÍDA",'LANÇAMENTOS'!$D$6:$D$1005,$A49))</f>
        <v/>
      </c>
      <c r="H49" s="31">
        <f>IF($A49="","",SUMIFS('LANÇAMENTOS'!$G$6:$G$1005,'LANÇAMENTOS'!$I$6:$I$1005,($A$4*12+7),'LANÇAMENTOS'!$B$6:$B$1005,"SAÍDA",'LANÇAMENTOS'!$D$6:$D$1005,$A49))</f>
        <v/>
      </c>
      <c r="I49" s="31">
        <f>IF($A49="","",SUMIFS('LANÇAMENTOS'!$G$6:$G$1005,'LANÇAMENTOS'!$I$6:$I$1005,($A$4*12+8),'LANÇAMENTOS'!$B$6:$B$1005,"SAÍDA",'LANÇAMENTOS'!$D$6:$D$1005,$A49))</f>
        <v/>
      </c>
      <c r="J49" s="31">
        <f>IF($A49="","",SUMIFS('LANÇAMENTOS'!$G$6:$G$1005,'LANÇAMENTOS'!$I$6:$I$1005,($A$4*12+9),'LANÇAMENTOS'!$B$6:$B$1005,"SAÍDA",'LANÇAMENTOS'!$D$6:$D$1005,$A49))</f>
        <v/>
      </c>
      <c r="K49" s="31">
        <f>IF($A49="","",SUMIFS('LANÇAMENTOS'!$G$6:$G$1005,'LANÇAMENTOS'!$I$6:$I$1005,($A$4*12+10),'LANÇAMENTOS'!$B$6:$B$1005,"SAÍDA",'LANÇAMENTOS'!$D$6:$D$1005,$A49))</f>
        <v/>
      </c>
      <c r="L49" s="31">
        <f>IF($A49="","",SUMIFS('LANÇAMENTOS'!$G$6:$G$1005,'LANÇAMENTOS'!$I$6:$I$1005,($A$4*12+11),'LANÇAMENTOS'!$B$6:$B$1005,"SAÍDA",'LANÇAMENTOS'!$D$6:$D$1005,$A49))</f>
        <v/>
      </c>
      <c r="M49" s="31">
        <f>IF($A49="","",SUMIFS('LANÇAMENTOS'!$G$6:$G$1005,'LANÇAMENTOS'!$I$6:$I$1005,($A$4*12+12),'LANÇAMENTOS'!$B$6:$B$1005,"SAÍDA",'LANÇAMENTOS'!$D$6:$D$1005,$A49))</f>
        <v/>
      </c>
      <c r="N49" s="43">
        <f>IF($A49="","",SUM(B49:M49))</f>
        <v/>
      </c>
    </row>
    <row r="50">
      <c r="A50" s="18">
        <f>IF(LISTAS!$B33="SAÍDA",LISTAS!$A33,"")</f>
        <v/>
      </c>
      <c r="B50" s="31">
        <f>IF($A50="","",SUMIFS('LANÇAMENTOS'!$G$6:$G$1005,'LANÇAMENTOS'!$I$6:$I$1005,($A$4*12+1),'LANÇAMENTOS'!$B$6:$B$1005,"SAÍDA",'LANÇAMENTOS'!$D$6:$D$1005,$A50))</f>
        <v/>
      </c>
      <c r="C50" s="31">
        <f>IF($A50="","",SUMIFS('LANÇAMENTOS'!$G$6:$G$1005,'LANÇAMENTOS'!$I$6:$I$1005,($A$4*12+2),'LANÇAMENTOS'!$B$6:$B$1005,"SAÍDA",'LANÇAMENTOS'!$D$6:$D$1005,$A50))</f>
        <v/>
      </c>
      <c r="D50" s="31">
        <f>IF($A50="","",SUMIFS('LANÇAMENTOS'!$G$6:$G$1005,'LANÇAMENTOS'!$I$6:$I$1005,($A$4*12+3),'LANÇAMENTOS'!$B$6:$B$1005,"SAÍDA",'LANÇAMENTOS'!$D$6:$D$1005,$A50))</f>
        <v/>
      </c>
      <c r="E50" s="31">
        <f>IF($A50="","",SUMIFS('LANÇAMENTOS'!$G$6:$G$1005,'LANÇAMENTOS'!$I$6:$I$1005,($A$4*12+4),'LANÇAMENTOS'!$B$6:$B$1005,"SAÍDA",'LANÇAMENTOS'!$D$6:$D$1005,$A50))</f>
        <v/>
      </c>
      <c r="F50" s="31">
        <f>IF($A50="","",SUMIFS('LANÇAMENTOS'!$G$6:$G$1005,'LANÇAMENTOS'!$I$6:$I$1005,($A$4*12+5),'LANÇAMENTOS'!$B$6:$B$1005,"SAÍDA",'LANÇAMENTOS'!$D$6:$D$1005,$A50))</f>
        <v/>
      </c>
      <c r="G50" s="31">
        <f>IF($A50="","",SUMIFS('LANÇAMENTOS'!$G$6:$G$1005,'LANÇAMENTOS'!$I$6:$I$1005,($A$4*12+6),'LANÇAMENTOS'!$B$6:$B$1005,"SAÍDA",'LANÇAMENTOS'!$D$6:$D$1005,$A50))</f>
        <v/>
      </c>
      <c r="H50" s="31">
        <f>IF($A50="","",SUMIFS('LANÇAMENTOS'!$G$6:$G$1005,'LANÇAMENTOS'!$I$6:$I$1005,($A$4*12+7),'LANÇAMENTOS'!$B$6:$B$1005,"SAÍDA",'LANÇAMENTOS'!$D$6:$D$1005,$A50))</f>
        <v/>
      </c>
      <c r="I50" s="31">
        <f>IF($A50="","",SUMIFS('LANÇAMENTOS'!$G$6:$G$1005,'LANÇAMENTOS'!$I$6:$I$1005,($A$4*12+8),'LANÇAMENTOS'!$B$6:$B$1005,"SAÍDA",'LANÇAMENTOS'!$D$6:$D$1005,$A50))</f>
        <v/>
      </c>
      <c r="J50" s="31">
        <f>IF($A50="","",SUMIFS('LANÇAMENTOS'!$G$6:$G$1005,'LANÇAMENTOS'!$I$6:$I$1005,($A$4*12+9),'LANÇAMENTOS'!$B$6:$B$1005,"SAÍDA",'LANÇAMENTOS'!$D$6:$D$1005,$A50))</f>
        <v/>
      </c>
      <c r="K50" s="31">
        <f>IF($A50="","",SUMIFS('LANÇAMENTOS'!$G$6:$G$1005,'LANÇAMENTOS'!$I$6:$I$1005,($A$4*12+10),'LANÇAMENTOS'!$B$6:$B$1005,"SAÍDA",'LANÇAMENTOS'!$D$6:$D$1005,$A50))</f>
        <v/>
      </c>
      <c r="L50" s="31">
        <f>IF($A50="","",SUMIFS('LANÇAMENTOS'!$G$6:$G$1005,'LANÇAMENTOS'!$I$6:$I$1005,($A$4*12+11),'LANÇAMENTOS'!$B$6:$B$1005,"SAÍDA",'LANÇAMENTOS'!$D$6:$D$1005,$A50))</f>
        <v/>
      </c>
      <c r="M50" s="31">
        <f>IF($A50="","",SUMIFS('LANÇAMENTOS'!$G$6:$G$1005,'LANÇAMENTOS'!$I$6:$I$1005,($A$4*12+12),'LANÇAMENTOS'!$B$6:$B$1005,"SAÍDA",'LANÇAMENTOS'!$D$6:$D$1005,$A50))</f>
        <v/>
      </c>
      <c r="N50" s="43">
        <f>IF($A50="","",SUM(B50:M50))</f>
        <v/>
      </c>
    </row>
    <row r="51">
      <c r="A51" s="18">
        <f>IF(LISTAS!$B34="SAÍDA",LISTAS!$A34,"")</f>
        <v/>
      </c>
      <c r="B51" s="31">
        <f>IF($A51="","",SUMIFS('LANÇAMENTOS'!$G$6:$G$1005,'LANÇAMENTOS'!$I$6:$I$1005,($A$4*12+1),'LANÇAMENTOS'!$B$6:$B$1005,"SAÍDA",'LANÇAMENTOS'!$D$6:$D$1005,$A51))</f>
        <v/>
      </c>
      <c r="C51" s="31">
        <f>IF($A51="","",SUMIFS('LANÇAMENTOS'!$G$6:$G$1005,'LANÇAMENTOS'!$I$6:$I$1005,($A$4*12+2),'LANÇAMENTOS'!$B$6:$B$1005,"SAÍDA",'LANÇAMENTOS'!$D$6:$D$1005,$A51))</f>
        <v/>
      </c>
      <c r="D51" s="31">
        <f>IF($A51="","",SUMIFS('LANÇAMENTOS'!$G$6:$G$1005,'LANÇAMENTOS'!$I$6:$I$1005,($A$4*12+3),'LANÇAMENTOS'!$B$6:$B$1005,"SAÍDA",'LANÇAMENTOS'!$D$6:$D$1005,$A51))</f>
        <v/>
      </c>
      <c r="E51" s="31">
        <f>IF($A51="","",SUMIFS('LANÇAMENTOS'!$G$6:$G$1005,'LANÇAMENTOS'!$I$6:$I$1005,($A$4*12+4),'LANÇAMENTOS'!$B$6:$B$1005,"SAÍDA",'LANÇAMENTOS'!$D$6:$D$1005,$A51))</f>
        <v/>
      </c>
      <c r="F51" s="31">
        <f>IF($A51="","",SUMIFS('LANÇAMENTOS'!$G$6:$G$1005,'LANÇAMENTOS'!$I$6:$I$1005,($A$4*12+5),'LANÇAMENTOS'!$B$6:$B$1005,"SAÍDA",'LANÇAMENTOS'!$D$6:$D$1005,$A51))</f>
        <v/>
      </c>
      <c r="G51" s="31">
        <f>IF($A51="","",SUMIFS('LANÇAMENTOS'!$G$6:$G$1005,'LANÇAMENTOS'!$I$6:$I$1005,($A$4*12+6),'LANÇAMENTOS'!$B$6:$B$1005,"SAÍDA",'LANÇAMENTOS'!$D$6:$D$1005,$A51))</f>
        <v/>
      </c>
      <c r="H51" s="31">
        <f>IF($A51="","",SUMIFS('LANÇAMENTOS'!$G$6:$G$1005,'LANÇAMENTOS'!$I$6:$I$1005,($A$4*12+7),'LANÇAMENTOS'!$B$6:$B$1005,"SAÍDA",'LANÇAMENTOS'!$D$6:$D$1005,$A51))</f>
        <v/>
      </c>
      <c r="I51" s="31">
        <f>IF($A51="","",SUMIFS('LANÇAMENTOS'!$G$6:$G$1005,'LANÇAMENTOS'!$I$6:$I$1005,($A$4*12+8),'LANÇAMENTOS'!$B$6:$B$1005,"SAÍDA",'LANÇAMENTOS'!$D$6:$D$1005,$A51))</f>
        <v/>
      </c>
      <c r="J51" s="31">
        <f>IF($A51="","",SUMIFS('LANÇAMENTOS'!$G$6:$G$1005,'LANÇAMENTOS'!$I$6:$I$1005,($A$4*12+9),'LANÇAMENTOS'!$B$6:$B$1005,"SAÍDA",'LANÇAMENTOS'!$D$6:$D$1005,$A51))</f>
        <v/>
      </c>
      <c r="K51" s="31">
        <f>IF($A51="","",SUMIFS('LANÇAMENTOS'!$G$6:$G$1005,'LANÇAMENTOS'!$I$6:$I$1005,($A$4*12+10),'LANÇAMENTOS'!$B$6:$B$1005,"SAÍDA",'LANÇAMENTOS'!$D$6:$D$1005,$A51))</f>
        <v/>
      </c>
      <c r="L51" s="31">
        <f>IF($A51="","",SUMIFS('LANÇAMENTOS'!$G$6:$G$1005,'LANÇAMENTOS'!$I$6:$I$1005,($A$4*12+11),'LANÇAMENTOS'!$B$6:$B$1005,"SAÍDA",'LANÇAMENTOS'!$D$6:$D$1005,$A51))</f>
        <v/>
      </c>
      <c r="M51" s="31">
        <f>IF($A51="","",SUMIFS('LANÇAMENTOS'!$G$6:$G$1005,'LANÇAMENTOS'!$I$6:$I$1005,($A$4*12+12),'LANÇAMENTOS'!$B$6:$B$1005,"SAÍDA",'LANÇAMENTOS'!$D$6:$D$1005,$A51))</f>
        <v/>
      </c>
      <c r="N51" s="43">
        <f>IF($A51="","",SUM(B51:M51))</f>
        <v/>
      </c>
    </row>
    <row r="52">
      <c r="A52" s="18">
        <f>IF(LISTAS!$B35="SAÍDA",LISTAS!$A35,"")</f>
        <v/>
      </c>
      <c r="B52" s="31">
        <f>IF($A52="","",SUMIFS('LANÇAMENTOS'!$G$6:$G$1005,'LANÇAMENTOS'!$I$6:$I$1005,($A$4*12+1),'LANÇAMENTOS'!$B$6:$B$1005,"SAÍDA",'LANÇAMENTOS'!$D$6:$D$1005,$A52))</f>
        <v/>
      </c>
      <c r="C52" s="31">
        <f>IF($A52="","",SUMIFS('LANÇAMENTOS'!$G$6:$G$1005,'LANÇAMENTOS'!$I$6:$I$1005,($A$4*12+2),'LANÇAMENTOS'!$B$6:$B$1005,"SAÍDA",'LANÇAMENTOS'!$D$6:$D$1005,$A52))</f>
        <v/>
      </c>
      <c r="D52" s="31">
        <f>IF($A52="","",SUMIFS('LANÇAMENTOS'!$G$6:$G$1005,'LANÇAMENTOS'!$I$6:$I$1005,($A$4*12+3),'LANÇAMENTOS'!$B$6:$B$1005,"SAÍDA",'LANÇAMENTOS'!$D$6:$D$1005,$A52))</f>
        <v/>
      </c>
      <c r="E52" s="31">
        <f>IF($A52="","",SUMIFS('LANÇAMENTOS'!$G$6:$G$1005,'LANÇAMENTOS'!$I$6:$I$1005,($A$4*12+4),'LANÇAMENTOS'!$B$6:$B$1005,"SAÍDA",'LANÇAMENTOS'!$D$6:$D$1005,$A52))</f>
        <v/>
      </c>
      <c r="F52" s="31">
        <f>IF($A52="","",SUMIFS('LANÇAMENTOS'!$G$6:$G$1005,'LANÇAMENTOS'!$I$6:$I$1005,($A$4*12+5),'LANÇAMENTOS'!$B$6:$B$1005,"SAÍDA",'LANÇAMENTOS'!$D$6:$D$1005,$A52))</f>
        <v/>
      </c>
      <c r="G52" s="31">
        <f>IF($A52="","",SUMIFS('LANÇAMENTOS'!$G$6:$G$1005,'LANÇAMENTOS'!$I$6:$I$1005,($A$4*12+6),'LANÇAMENTOS'!$B$6:$B$1005,"SAÍDA",'LANÇAMENTOS'!$D$6:$D$1005,$A52))</f>
        <v/>
      </c>
      <c r="H52" s="31">
        <f>IF($A52="","",SUMIFS('LANÇAMENTOS'!$G$6:$G$1005,'LANÇAMENTOS'!$I$6:$I$1005,($A$4*12+7),'LANÇAMENTOS'!$B$6:$B$1005,"SAÍDA",'LANÇAMENTOS'!$D$6:$D$1005,$A52))</f>
        <v/>
      </c>
      <c r="I52" s="31">
        <f>IF($A52="","",SUMIFS('LANÇAMENTOS'!$G$6:$G$1005,'LANÇAMENTOS'!$I$6:$I$1005,($A$4*12+8),'LANÇAMENTOS'!$B$6:$B$1005,"SAÍDA",'LANÇAMENTOS'!$D$6:$D$1005,$A52))</f>
        <v/>
      </c>
      <c r="J52" s="31">
        <f>IF($A52="","",SUMIFS('LANÇAMENTOS'!$G$6:$G$1005,'LANÇAMENTOS'!$I$6:$I$1005,($A$4*12+9),'LANÇAMENTOS'!$B$6:$B$1005,"SAÍDA",'LANÇAMENTOS'!$D$6:$D$1005,$A52))</f>
        <v/>
      </c>
      <c r="K52" s="31">
        <f>IF($A52="","",SUMIFS('LANÇAMENTOS'!$G$6:$G$1005,'LANÇAMENTOS'!$I$6:$I$1005,($A$4*12+10),'LANÇAMENTOS'!$B$6:$B$1005,"SAÍDA",'LANÇAMENTOS'!$D$6:$D$1005,$A52))</f>
        <v/>
      </c>
      <c r="L52" s="31">
        <f>IF($A52="","",SUMIFS('LANÇAMENTOS'!$G$6:$G$1005,'LANÇAMENTOS'!$I$6:$I$1005,($A$4*12+11),'LANÇAMENTOS'!$B$6:$B$1005,"SAÍDA",'LANÇAMENTOS'!$D$6:$D$1005,$A52))</f>
        <v/>
      </c>
      <c r="M52" s="31">
        <f>IF($A52="","",SUMIFS('LANÇAMENTOS'!$G$6:$G$1005,'LANÇAMENTOS'!$I$6:$I$1005,($A$4*12+12),'LANÇAMENTOS'!$B$6:$B$1005,"SAÍDA",'LANÇAMENTOS'!$D$6:$D$1005,$A52))</f>
        <v/>
      </c>
      <c r="N52" s="43">
        <f>IF($A52="","",SUM(B52:M52))</f>
        <v/>
      </c>
    </row>
    <row r="53">
      <c r="A53" s="18">
        <f>IF(LISTAS!$B36="SAÍDA",LISTAS!$A36,"")</f>
        <v/>
      </c>
      <c r="B53" s="31">
        <f>IF($A53="","",SUMIFS('LANÇAMENTOS'!$G$6:$G$1005,'LANÇAMENTOS'!$I$6:$I$1005,($A$4*12+1),'LANÇAMENTOS'!$B$6:$B$1005,"SAÍDA",'LANÇAMENTOS'!$D$6:$D$1005,$A53))</f>
        <v/>
      </c>
      <c r="C53" s="31">
        <f>IF($A53="","",SUMIFS('LANÇAMENTOS'!$G$6:$G$1005,'LANÇAMENTOS'!$I$6:$I$1005,($A$4*12+2),'LANÇAMENTOS'!$B$6:$B$1005,"SAÍDA",'LANÇAMENTOS'!$D$6:$D$1005,$A53))</f>
        <v/>
      </c>
      <c r="D53" s="31">
        <f>IF($A53="","",SUMIFS('LANÇAMENTOS'!$G$6:$G$1005,'LANÇAMENTOS'!$I$6:$I$1005,($A$4*12+3),'LANÇAMENTOS'!$B$6:$B$1005,"SAÍDA",'LANÇAMENTOS'!$D$6:$D$1005,$A53))</f>
        <v/>
      </c>
      <c r="E53" s="31">
        <f>IF($A53="","",SUMIFS('LANÇAMENTOS'!$G$6:$G$1005,'LANÇAMENTOS'!$I$6:$I$1005,($A$4*12+4),'LANÇAMENTOS'!$B$6:$B$1005,"SAÍDA",'LANÇAMENTOS'!$D$6:$D$1005,$A53))</f>
        <v/>
      </c>
      <c r="F53" s="31">
        <f>IF($A53="","",SUMIFS('LANÇAMENTOS'!$G$6:$G$1005,'LANÇAMENTOS'!$I$6:$I$1005,($A$4*12+5),'LANÇAMENTOS'!$B$6:$B$1005,"SAÍDA",'LANÇAMENTOS'!$D$6:$D$1005,$A53))</f>
        <v/>
      </c>
      <c r="G53" s="31">
        <f>IF($A53="","",SUMIFS('LANÇAMENTOS'!$G$6:$G$1005,'LANÇAMENTOS'!$I$6:$I$1005,($A$4*12+6),'LANÇAMENTOS'!$B$6:$B$1005,"SAÍDA",'LANÇAMENTOS'!$D$6:$D$1005,$A53))</f>
        <v/>
      </c>
      <c r="H53" s="31">
        <f>IF($A53="","",SUMIFS('LANÇAMENTOS'!$G$6:$G$1005,'LANÇAMENTOS'!$I$6:$I$1005,($A$4*12+7),'LANÇAMENTOS'!$B$6:$B$1005,"SAÍDA",'LANÇAMENTOS'!$D$6:$D$1005,$A53))</f>
        <v/>
      </c>
      <c r="I53" s="31">
        <f>IF($A53="","",SUMIFS('LANÇAMENTOS'!$G$6:$G$1005,'LANÇAMENTOS'!$I$6:$I$1005,($A$4*12+8),'LANÇAMENTOS'!$B$6:$B$1005,"SAÍDA",'LANÇAMENTOS'!$D$6:$D$1005,$A53))</f>
        <v/>
      </c>
      <c r="J53" s="31">
        <f>IF($A53="","",SUMIFS('LANÇAMENTOS'!$G$6:$G$1005,'LANÇAMENTOS'!$I$6:$I$1005,($A$4*12+9),'LANÇAMENTOS'!$B$6:$B$1005,"SAÍDA",'LANÇAMENTOS'!$D$6:$D$1005,$A53))</f>
        <v/>
      </c>
      <c r="K53" s="31">
        <f>IF($A53="","",SUMIFS('LANÇAMENTOS'!$G$6:$G$1005,'LANÇAMENTOS'!$I$6:$I$1005,($A$4*12+10),'LANÇAMENTOS'!$B$6:$B$1005,"SAÍDA",'LANÇAMENTOS'!$D$6:$D$1005,$A53))</f>
        <v/>
      </c>
      <c r="L53" s="31">
        <f>IF($A53="","",SUMIFS('LANÇAMENTOS'!$G$6:$G$1005,'LANÇAMENTOS'!$I$6:$I$1005,($A$4*12+11),'LANÇAMENTOS'!$B$6:$B$1005,"SAÍDA",'LANÇAMENTOS'!$D$6:$D$1005,$A53))</f>
        <v/>
      </c>
      <c r="M53" s="31">
        <f>IF($A53="","",SUMIFS('LANÇAMENTOS'!$G$6:$G$1005,'LANÇAMENTOS'!$I$6:$I$1005,($A$4*12+12),'LANÇAMENTOS'!$B$6:$B$1005,"SAÍDA",'LANÇAMENTOS'!$D$6:$D$1005,$A53))</f>
        <v/>
      </c>
      <c r="N53" s="43">
        <f>IF($A53="","",SUM(B53:M53))</f>
        <v/>
      </c>
    </row>
    <row r="54">
      <c r="A54" s="18">
        <f>IF(LISTAS!$B37="SAÍDA",LISTAS!$A37,"")</f>
        <v/>
      </c>
      <c r="B54" s="31">
        <f>IF($A54="","",SUMIFS('LANÇAMENTOS'!$G$6:$G$1005,'LANÇAMENTOS'!$I$6:$I$1005,($A$4*12+1),'LANÇAMENTOS'!$B$6:$B$1005,"SAÍDA",'LANÇAMENTOS'!$D$6:$D$1005,$A54))</f>
        <v/>
      </c>
      <c r="C54" s="31">
        <f>IF($A54="","",SUMIFS('LANÇAMENTOS'!$G$6:$G$1005,'LANÇAMENTOS'!$I$6:$I$1005,($A$4*12+2),'LANÇAMENTOS'!$B$6:$B$1005,"SAÍDA",'LANÇAMENTOS'!$D$6:$D$1005,$A54))</f>
        <v/>
      </c>
      <c r="D54" s="31">
        <f>IF($A54="","",SUMIFS('LANÇAMENTOS'!$G$6:$G$1005,'LANÇAMENTOS'!$I$6:$I$1005,($A$4*12+3),'LANÇAMENTOS'!$B$6:$B$1005,"SAÍDA",'LANÇAMENTOS'!$D$6:$D$1005,$A54))</f>
        <v/>
      </c>
      <c r="E54" s="31">
        <f>IF($A54="","",SUMIFS('LANÇAMENTOS'!$G$6:$G$1005,'LANÇAMENTOS'!$I$6:$I$1005,($A$4*12+4),'LANÇAMENTOS'!$B$6:$B$1005,"SAÍDA",'LANÇAMENTOS'!$D$6:$D$1005,$A54))</f>
        <v/>
      </c>
      <c r="F54" s="31">
        <f>IF($A54="","",SUMIFS('LANÇAMENTOS'!$G$6:$G$1005,'LANÇAMENTOS'!$I$6:$I$1005,($A$4*12+5),'LANÇAMENTOS'!$B$6:$B$1005,"SAÍDA",'LANÇAMENTOS'!$D$6:$D$1005,$A54))</f>
        <v/>
      </c>
      <c r="G54" s="31">
        <f>IF($A54="","",SUMIFS('LANÇAMENTOS'!$G$6:$G$1005,'LANÇAMENTOS'!$I$6:$I$1005,($A$4*12+6),'LANÇAMENTOS'!$B$6:$B$1005,"SAÍDA",'LANÇAMENTOS'!$D$6:$D$1005,$A54))</f>
        <v/>
      </c>
      <c r="H54" s="31">
        <f>IF($A54="","",SUMIFS('LANÇAMENTOS'!$G$6:$G$1005,'LANÇAMENTOS'!$I$6:$I$1005,($A$4*12+7),'LANÇAMENTOS'!$B$6:$B$1005,"SAÍDA",'LANÇAMENTOS'!$D$6:$D$1005,$A54))</f>
        <v/>
      </c>
      <c r="I54" s="31">
        <f>IF($A54="","",SUMIFS('LANÇAMENTOS'!$G$6:$G$1005,'LANÇAMENTOS'!$I$6:$I$1005,($A$4*12+8),'LANÇAMENTOS'!$B$6:$B$1005,"SAÍDA",'LANÇAMENTOS'!$D$6:$D$1005,$A54))</f>
        <v/>
      </c>
      <c r="J54" s="31">
        <f>IF($A54="","",SUMIFS('LANÇAMENTOS'!$G$6:$G$1005,'LANÇAMENTOS'!$I$6:$I$1005,($A$4*12+9),'LANÇAMENTOS'!$B$6:$B$1005,"SAÍDA",'LANÇAMENTOS'!$D$6:$D$1005,$A54))</f>
        <v/>
      </c>
      <c r="K54" s="31">
        <f>IF($A54="","",SUMIFS('LANÇAMENTOS'!$G$6:$G$1005,'LANÇAMENTOS'!$I$6:$I$1005,($A$4*12+10),'LANÇAMENTOS'!$B$6:$B$1005,"SAÍDA",'LANÇAMENTOS'!$D$6:$D$1005,$A54))</f>
        <v/>
      </c>
      <c r="L54" s="31">
        <f>IF($A54="","",SUMIFS('LANÇAMENTOS'!$G$6:$G$1005,'LANÇAMENTOS'!$I$6:$I$1005,($A$4*12+11),'LANÇAMENTOS'!$B$6:$B$1005,"SAÍDA",'LANÇAMENTOS'!$D$6:$D$1005,$A54))</f>
        <v/>
      </c>
      <c r="M54" s="31">
        <f>IF($A54="","",SUMIFS('LANÇAMENTOS'!$G$6:$G$1005,'LANÇAMENTOS'!$I$6:$I$1005,($A$4*12+12),'LANÇAMENTOS'!$B$6:$B$1005,"SAÍDA",'LANÇAMENTOS'!$D$6:$D$1005,$A54))</f>
        <v/>
      </c>
      <c r="N54" s="43">
        <f>IF($A54="","",SUM(B54:M54))</f>
        <v/>
      </c>
    </row>
    <row r="55">
      <c r="A55" s="18">
        <f>IF(LISTAS!$B38="SAÍDA",LISTAS!$A38,"")</f>
        <v/>
      </c>
      <c r="B55" s="31">
        <f>IF($A55="","",SUMIFS('LANÇAMENTOS'!$G$6:$G$1005,'LANÇAMENTOS'!$I$6:$I$1005,($A$4*12+1),'LANÇAMENTOS'!$B$6:$B$1005,"SAÍDA",'LANÇAMENTOS'!$D$6:$D$1005,$A55))</f>
        <v/>
      </c>
      <c r="C55" s="31">
        <f>IF($A55="","",SUMIFS('LANÇAMENTOS'!$G$6:$G$1005,'LANÇAMENTOS'!$I$6:$I$1005,($A$4*12+2),'LANÇAMENTOS'!$B$6:$B$1005,"SAÍDA",'LANÇAMENTOS'!$D$6:$D$1005,$A55))</f>
        <v/>
      </c>
      <c r="D55" s="31">
        <f>IF($A55="","",SUMIFS('LANÇAMENTOS'!$G$6:$G$1005,'LANÇAMENTOS'!$I$6:$I$1005,($A$4*12+3),'LANÇAMENTOS'!$B$6:$B$1005,"SAÍDA",'LANÇAMENTOS'!$D$6:$D$1005,$A55))</f>
        <v/>
      </c>
      <c r="E55" s="31">
        <f>IF($A55="","",SUMIFS('LANÇAMENTOS'!$G$6:$G$1005,'LANÇAMENTOS'!$I$6:$I$1005,($A$4*12+4),'LANÇAMENTOS'!$B$6:$B$1005,"SAÍDA",'LANÇAMENTOS'!$D$6:$D$1005,$A55))</f>
        <v/>
      </c>
      <c r="F55" s="31">
        <f>IF($A55="","",SUMIFS('LANÇAMENTOS'!$G$6:$G$1005,'LANÇAMENTOS'!$I$6:$I$1005,($A$4*12+5),'LANÇAMENTOS'!$B$6:$B$1005,"SAÍDA",'LANÇAMENTOS'!$D$6:$D$1005,$A55))</f>
        <v/>
      </c>
      <c r="G55" s="31">
        <f>IF($A55="","",SUMIFS('LANÇAMENTOS'!$G$6:$G$1005,'LANÇAMENTOS'!$I$6:$I$1005,($A$4*12+6),'LANÇAMENTOS'!$B$6:$B$1005,"SAÍDA",'LANÇAMENTOS'!$D$6:$D$1005,$A55))</f>
        <v/>
      </c>
      <c r="H55" s="31">
        <f>IF($A55="","",SUMIFS('LANÇAMENTOS'!$G$6:$G$1005,'LANÇAMENTOS'!$I$6:$I$1005,($A$4*12+7),'LANÇAMENTOS'!$B$6:$B$1005,"SAÍDA",'LANÇAMENTOS'!$D$6:$D$1005,$A55))</f>
        <v/>
      </c>
      <c r="I55" s="31">
        <f>IF($A55="","",SUMIFS('LANÇAMENTOS'!$G$6:$G$1005,'LANÇAMENTOS'!$I$6:$I$1005,($A$4*12+8),'LANÇAMENTOS'!$B$6:$B$1005,"SAÍDA",'LANÇAMENTOS'!$D$6:$D$1005,$A55))</f>
        <v/>
      </c>
      <c r="J55" s="31">
        <f>IF($A55="","",SUMIFS('LANÇAMENTOS'!$G$6:$G$1005,'LANÇAMENTOS'!$I$6:$I$1005,($A$4*12+9),'LANÇAMENTOS'!$B$6:$B$1005,"SAÍDA",'LANÇAMENTOS'!$D$6:$D$1005,$A55))</f>
        <v/>
      </c>
      <c r="K55" s="31">
        <f>IF($A55="","",SUMIFS('LANÇAMENTOS'!$G$6:$G$1005,'LANÇAMENTOS'!$I$6:$I$1005,($A$4*12+10),'LANÇAMENTOS'!$B$6:$B$1005,"SAÍDA",'LANÇAMENTOS'!$D$6:$D$1005,$A55))</f>
        <v/>
      </c>
      <c r="L55" s="31">
        <f>IF($A55="","",SUMIFS('LANÇAMENTOS'!$G$6:$G$1005,'LANÇAMENTOS'!$I$6:$I$1005,($A$4*12+11),'LANÇAMENTOS'!$B$6:$B$1005,"SAÍDA",'LANÇAMENTOS'!$D$6:$D$1005,$A55))</f>
        <v/>
      </c>
      <c r="M55" s="31">
        <f>IF($A55="","",SUMIFS('LANÇAMENTOS'!$G$6:$G$1005,'LANÇAMENTOS'!$I$6:$I$1005,($A$4*12+12),'LANÇAMENTOS'!$B$6:$B$1005,"SAÍDA",'LANÇAMENTOS'!$D$6:$D$1005,$A55))</f>
        <v/>
      </c>
      <c r="N55" s="43">
        <f>IF($A55="","",SUM(B55:M55))</f>
        <v/>
      </c>
    </row>
    <row r="56">
      <c r="A56" s="18">
        <f>IF(LISTAS!$B39="SAÍDA",LISTAS!$A39,"")</f>
        <v/>
      </c>
      <c r="B56" s="31">
        <f>IF($A56="","",SUMIFS('LANÇAMENTOS'!$G$6:$G$1005,'LANÇAMENTOS'!$I$6:$I$1005,($A$4*12+1),'LANÇAMENTOS'!$B$6:$B$1005,"SAÍDA",'LANÇAMENTOS'!$D$6:$D$1005,$A56))</f>
        <v/>
      </c>
      <c r="C56" s="31">
        <f>IF($A56="","",SUMIFS('LANÇAMENTOS'!$G$6:$G$1005,'LANÇAMENTOS'!$I$6:$I$1005,($A$4*12+2),'LANÇAMENTOS'!$B$6:$B$1005,"SAÍDA",'LANÇAMENTOS'!$D$6:$D$1005,$A56))</f>
        <v/>
      </c>
      <c r="D56" s="31">
        <f>IF($A56="","",SUMIFS('LANÇAMENTOS'!$G$6:$G$1005,'LANÇAMENTOS'!$I$6:$I$1005,($A$4*12+3),'LANÇAMENTOS'!$B$6:$B$1005,"SAÍDA",'LANÇAMENTOS'!$D$6:$D$1005,$A56))</f>
        <v/>
      </c>
      <c r="E56" s="31">
        <f>IF($A56="","",SUMIFS('LANÇAMENTOS'!$G$6:$G$1005,'LANÇAMENTOS'!$I$6:$I$1005,($A$4*12+4),'LANÇAMENTOS'!$B$6:$B$1005,"SAÍDA",'LANÇAMENTOS'!$D$6:$D$1005,$A56))</f>
        <v/>
      </c>
      <c r="F56" s="31">
        <f>IF($A56="","",SUMIFS('LANÇAMENTOS'!$G$6:$G$1005,'LANÇAMENTOS'!$I$6:$I$1005,($A$4*12+5),'LANÇAMENTOS'!$B$6:$B$1005,"SAÍDA",'LANÇAMENTOS'!$D$6:$D$1005,$A56))</f>
        <v/>
      </c>
      <c r="G56" s="31">
        <f>IF($A56="","",SUMIFS('LANÇAMENTOS'!$G$6:$G$1005,'LANÇAMENTOS'!$I$6:$I$1005,($A$4*12+6),'LANÇAMENTOS'!$B$6:$B$1005,"SAÍDA",'LANÇAMENTOS'!$D$6:$D$1005,$A56))</f>
        <v/>
      </c>
      <c r="H56" s="31">
        <f>IF($A56="","",SUMIFS('LANÇAMENTOS'!$G$6:$G$1005,'LANÇAMENTOS'!$I$6:$I$1005,($A$4*12+7),'LANÇAMENTOS'!$B$6:$B$1005,"SAÍDA",'LANÇAMENTOS'!$D$6:$D$1005,$A56))</f>
        <v/>
      </c>
      <c r="I56" s="31">
        <f>IF($A56="","",SUMIFS('LANÇAMENTOS'!$G$6:$G$1005,'LANÇAMENTOS'!$I$6:$I$1005,($A$4*12+8),'LANÇAMENTOS'!$B$6:$B$1005,"SAÍDA",'LANÇAMENTOS'!$D$6:$D$1005,$A56))</f>
        <v/>
      </c>
      <c r="J56" s="31">
        <f>IF($A56="","",SUMIFS('LANÇAMENTOS'!$G$6:$G$1005,'LANÇAMENTOS'!$I$6:$I$1005,($A$4*12+9),'LANÇAMENTOS'!$B$6:$B$1005,"SAÍDA",'LANÇAMENTOS'!$D$6:$D$1005,$A56))</f>
        <v/>
      </c>
      <c r="K56" s="31">
        <f>IF($A56="","",SUMIFS('LANÇAMENTOS'!$G$6:$G$1005,'LANÇAMENTOS'!$I$6:$I$1005,($A$4*12+10),'LANÇAMENTOS'!$B$6:$B$1005,"SAÍDA",'LANÇAMENTOS'!$D$6:$D$1005,$A56))</f>
        <v/>
      </c>
      <c r="L56" s="31">
        <f>IF($A56="","",SUMIFS('LANÇAMENTOS'!$G$6:$G$1005,'LANÇAMENTOS'!$I$6:$I$1005,($A$4*12+11),'LANÇAMENTOS'!$B$6:$B$1005,"SAÍDA",'LANÇAMENTOS'!$D$6:$D$1005,$A56))</f>
        <v/>
      </c>
      <c r="M56" s="31">
        <f>IF($A56="","",SUMIFS('LANÇAMENTOS'!$G$6:$G$1005,'LANÇAMENTOS'!$I$6:$I$1005,($A$4*12+12),'LANÇAMENTOS'!$B$6:$B$1005,"SAÍDA",'LANÇAMENTOS'!$D$6:$D$1005,$A56))</f>
        <v/>
      </c>
      <c r="N56" s="43">
        <f>IF($A56="","",SUM(B56:M56))</f>
        <v/>
      </c>
    </row>
    <row r="57">
      <c r="A57" s="18">
        <f>IF(LISTAS!$B40="SAÍDA",LISTAS!$A40,"")</f>
        <v/>
      </c>
      <c r="B57" s="31">
        <f>IF($A57="","",SUMIFS('LANÇAMENTOS'!$G$6:$G$1005,'LANÇAMENTOS'!$I$6:$I$1005,($A$4*12+1),'LANÇAMENTOS'!$B$6:$B$1005,"SAÍDA",'LANÇAMENTOS'!$D$6:$D$1005,$A57))</f>
        <v/>
      </c>
      <c r="C57" s="31">
        <f>IF($A57="","",SUMIFS('LANÇAMENTOS'!$G$6:$G$1005,'LANÇAMENTOS'!$I$6:$I$1005,($A$4*12+2),'LANÇAMENTOS'!$B$6:$B$1005,"SAÍDA",'LANÇAMENTOS'!$D$6:$D$1005,$A57))</f>
        <v/>
      </c>
      <c r="D57" s="31">
        <f>IF($A57="","",SUMIFS('LANÇAMENTOS'!$G$6:$G$1005,'LANÇAMENTOS'!$I$6:$I$1005,($A$4*12+3),'LANÇAMENTOS'!$B$6:$B$1005,"SAÍDA",'LANÇAMENTOS'!$D$6:$D$1005,$A57))</f>
        <v/>
      </c>
      <c r="E57" s="31">
        <f>IF($A57="","",SUMIFS('LANÇAMENTOS'!$G$6:$G$1005,'LANÇAMENTOS'!$I$6:$I$1005,($A$4*12+4),'LANÇAMENTOS'!$B$6:$B$1005,"SAÍDA",'LANÇAMENTOS'!$D$6:$D$1005,$A57))</f>
        <v/>
      </c>
      <c r="F57" s="31">
        <f>IF($A57="","",SUMIFS('LANÇAMENTOS'!$G$6:$G$1005,'LANÇAMENTOS'!$I$6:$I$1005,($A$4*12+5),'LANÇAMENTOS'!$B$6:$B$1005,"SAÍDA",'LANÇAMENTOS'!$D$6:$D$1005,$A57))</f>
        <v/>
      </c>
      <c r="G57" s="31">
        <f>IF($A57="","",SUMIFS('LANÇAMENTOS'!$G$6:$G$1005,'LANÇAMENTOS'!$I$6:$I$1005,($A$4*12+6),'LANÇAMENTOS'!$B$6:$B$1005,"SAÍDA",'LANÇAMENTOS'!$D$6:$D$1005,$A57))</f>
        <v/>
      </c>
      <c r="H57" s="31">
        <f>IF($A57="","",SUMIFS('LANÇAMENTOS'!$G$6:$G$1005,'LANÇAMENTOS'!$I$6:$I$1005,($A$4*12+7),'LANÇAMENTOS'!$B$6:$B$1005,"SAÍDA",'LANÇAMENTOS'!$D$6:$D$1005,$A57))</f>
        <v/>
      </c>
      <c r="I57" s="31">
        <f>IF($A57="","",SUMIFS('LANÇAMENTOS'!$G$6:$G$1005,'LANÇAMENTOS'!$I$6:$I$1005,($A$4*12+8),'LANÇAMENTOS'!$B$6:$B$1005,"SAÍDA",'LANÇAMENTOS'!$D$6:$D$1005,$A57))</f>
        <v/>
      </c>
      <c r="J57" s="31">
        <f>IF($A57="","",SUMIFS('LANÇAMENTOS'!$G$6:$G$1005,'LANÇAMENTOS'!$I$6:$I$1005,($A$4*12+9),'LANÇAMENTOS'!$B$6:$B$1005,"SAÍDA",'LANÇAMENTOS'!$D$6:$D$1005,$A57))</f>
        <v/>
      </c>
      <c r="K57" s="31">
        <f>IF($A57="","",SUMIFS('LANÇAMENTOS'!$G$6:$G$1005,'LANÇAMENTOS'!$I$6:$I$1005,($A$4*12+10),'LANÇAMENTOS'!$B$6:$B$1005,"SAÍDA",'LANÇAMENTOS'!$D$6:$D$1005,$A57))</f>
        <v/>
      </c>
      <c r="L57" s="31">
        <f>IF($A57="","",SUMIFS('LANÇAMENTOS'!$G$6:$G$1005,'LANÇAMENTOS'!$I$6:$I$1005,($A$4*12+11),'LANÇAMENTOS'!$B$6:$B$1005,"SAÍDA",'LANÇAMENTOS'!$D$6:$D$1005,$A57))</f>
        <v/>
      </c>
      <c r="M57" s="31">
        <f>IF($A57="","",SUMIFS('LANÇAMENTOS'!$G$6:$G$1005,'LANÇAMENTOS'!$I$6:$I$1005,($A$4*12+12),'LANÇAMENTOS'!$B$6:$B$1005,"SAÍDA",'LANÇAMENTOS'!$D$6:$D$1005,$A57))</f>
        <v/>
      </c>
      <c r="N57" s="43">
        <f>IF($A57="","",SUM(B57:M57))</f>
        <v/>
      </c>
    </row>
    <row r="58">
      <c r="A58" s="18">
        <f>IF(LISTAS!$B41="SAÍDA",LISTAS!$A41,"")</f>
        <v/>
      </c>
      <c r="B58" s="31">
        <f>IF($A58="","",SUMIFS('LANÇAMENTOS'!$G$6:$G$1005,'LANÇAMENTOS'!$I$6:$I$1005,($A$4*12+1),'LANÇAMENTOS'!$B$6:$B$1005,"SAÍDA",'LANÇAMENTOS'!$D$6:$D$1005,$A58))</f>
        <v/>
      </c>
      <c r="C58" s="31">
        <f>IF($A58="","",SUMIFS('LANÇAMENTOS'!$G$6:$G$1005,'LANÇAMENTOS'!$I$6:$I$1005,($A$4*12+2),'LANÇAMENTOS'!$B$6:$B$1005,"SAÍDA",'LANÇAMENTOS'!$D$6:$D$1005,$A58))</f>
        <v/>
      </c>
      <c r="D58" s="31">
        <f>IF($A58="","",SUMIFS('LANÇAMENTOS'!$G$6:$G$1005,'LANÇAMENTOS'!$I$6:$I$1005,($A$4*12+3),'LANÇAMENTOS'!$B$6:$B$1005,"SAÍDA",'LANÇAMENTOS'!$D$6:$D$1005,$A58))</f>
        <v/>
      </c>
      <c r="E58" s="31">
        <f>IF($A58="","",SUMIFS('LANÇAMENTOS'!$G$6:$G$1005,'LANÇAMENTOS'!$I$6:$I$1005,($A$4*12+4),'LANÇAMENTOS'!$B$6:$B$1005,"SAÍDA",'LANÇAMENTOS'!$D$6:$D$1005,$A58))</f>
        <v/>
      </c>
      <c r="F58" s="31">
        <f>IF($A58="","",SUMIFS('LANÇAMENTOS'!$G$6:$G$1005,'LANÇAMENTOS'!$I$6:$I$1005,($A$4*12+5),'LANÇAMENTOS'!$B$6:$B$1005,"SAÍDA",'LANÇAMENTOS'!$D$6:$D$1005,$A58))</f>
        <v/>
      </c>
      <c r="G58" s="31">
        <f>IF($A58="","",SUMIFS('LANÇAMENTOS'!$G$6:$G$1005,'LANÇAMENTOS'!$I$6:$I$1005,($A$4*12+6),'LANÇAMENTOS'!$B$6:$B$1005,"SAÍDA",'LANÇAMENTOS'!$D$6:$D$1005,$A58))</f>
        <v/>
      </c>
      <c r="H58" s="31">
        <f>IF($A58="","",SUMIFS('LANÇAMENTOS'!$G$6:$G$1005,'LANÇAMENTOS'!$I$6:$I$1005,($A$4*12+7),'LANÇAMENTOS'!$B$6:$B$1005,"SAÍDA",'LANÇAMENTOS'!$D$6:$D$1005,$A58))</f>
        <v/>
      </c>
      <c r="I58" s="31">
        <f>IF($A58="","",SUMIFS('LANÇAMENTOS'!$G$6:$G$1005,'LANÇAMENTOS'!$I$6:$I$1005,($A$4*12+8),'LANÇAMENTOS'!$B$6:$B$1005,"SAÍDA",'LANÇAMENTOS'!$D$6:$D$1005,$A58))</f>
        <v/>
      </c>
      <c r="J58" s="31">
        <f>IF($A58="","",SUMIFS('LANÇAMENTOS'!$G$6:$G$1005,'LANÇAMENTOS'!$I$6:$I$1005,($A$4*12+9),'LANÇAMENTOS'!$B$6:$B$1005,"SAÍDA",'LANÇAMENTOS'!$D$6:$D$1005,$A58))</f>
        <v/>
      </c>
      <c r="K58" s="31">
        <f>IF($A58="","",SUMIFS('LANÇAMENTOS'!$G$6:$G$1005,'LANÇAMENTOS'!$I$6:$I$1005,($A$4*12+10),'LANÇAMENTOS'!$B$6:$B$1005,"SAÍDA",'LANÇAMENTOS'!$D$6:$D$1005,$A58))</f>
        <v/>
      </c>
      <c r="L58" s="31">
        <f>IF($A58="","",SUMIFS('LANÇAMENTOS'!$G$6:$G$1005,'LANÇAMENTOS'!$I$6:$I$1005,($A$4*12+11),'LANÇAMENTOS'!$B$6:$B$1005,"SAÍDA",'LANÇAMENTOS'!$D$6:$D$1005,$A58))</f>
        <v/>
      </c>
      <c r="M58" s="31">
        <f>IF($A58="","",SUMIFS('LANÇAMENTOS'!$G$6:$G$1005,'LANÇAMENTOS'!$I$6:$I$1005,($A$4*12+12),'LANÇAMENTOS'!$B$6:$B$1005,"SAÍDA",'LANÇAMENTOS'!$D$6:$D$1005,$A58))</f>
        <v/>
      </c>
      <c r="N58" s="43">
        <f>IF($A58="","",SUM(B58:M58))</f>
        <v/>
      </c>
    </row>
    <row r="59">
      <c r="A59" s="18">
        <f>IF(LISTAS!$B42="SAÍDA",LISTAS!$A42,"")</f>
        <v/>
      </c>
      <c r="B59" s="31">
        <f>IF($A59="","",SUMIFS('LANÇAMENTOS'!$G$6:$G$1005,'LANÇAMENTOS'!$I$6:$I$1005,($A$4*12+1),'LANÇAMENTOS'!$B$6:$B$1005,"SAÍDA",'LANÇAMENTOS'!$D$6:$D$1005,$A59))</f>
        <v/>
      </c>
      <c r="C59" s="31">
        <f>IF($A59="","",SUMIFS('LANÇAMENTOS'!$G$6:$G$1005,'LANÇAMENTOS'!$I$6:$I$1005,($A$4*12+2),'LANÇAMENTOS'!$B$6:$B$1005,"SAÍDA",'LANÇAMENTOS'!$D$6:$D$1005,$A59))</f>
        <v/>
      </c>
      <c r="D59" s="31">
        <f>IF($A59="","",SUMIFS('LANÇAMENTOS'!$G$6:$G$1005,'LANÇAMENTOS'!$I$6:$I$1005,($A$4*12+3),'LANÇAMENTOS'!$B$6:$B$1005,"SAÍDA",'LANÇAMENTOS'!$D$6:$D$1005,$A59))</f>
        <v/>
      </c>
      <c r="E59" s="31">
        <f>IF($A59="","",SUMIFS('LANÇAMENTOS'!$G$6:$G$1005,'LANÇAMENTOS'!$I$6:$I$1005,($A$4*12+4),'LANÇAMENTOS'!$B$6:$B$1005,"SAÍDA",'LANÇAMENTOS'!$D$6:$D$1005,$A59))</f>
        <v/>
      </c>
      <c r="F59" s="31">
        <f>IF($A59="","",SUMIFS('LANÇAMENTOS'!$G$6:$G$1005,'LANÇAMENTOS'!$I$6:$I$1005,($A$4*12+5),'LANÇAMENTOS'!$B$6:$B$1005,"SAÍDA",'LANÇAMENTOS'!$D$6:$D$1005,$A59))</f>
        <v/>
      </c>
      <c r="G59" s="31">
        <f>IF($A59="","",SUMIFS('LANÇAMENTOS'!$G$6:$G$1005,'LANÇAMENTOS'!$I$6:$I$1005,($A$4*12+6),'LANÇAMENTOS'!$B$6:$B$1005,"SAÍDA",'LANÇAMENTOS'!$D$6:$D$1005,$A59))</f>
        <v/>
      </c>
      <c r="H59" s="31">
        <f>IF($A59="","",SUMIFS('LANÇAMENTOS'!$G$6:$G$1005,'LANÇAMENTOS'!$I$6:$I$1005,($A$4*12+7),'LANÇAMENTOS'!$B$6:$B$1005,"SAÍDA",'LANÇAMENTOS'!$D$6:$D$1005,$A59))</f>
        <v/>
      </c>
      <c r="I59" s="31">
        <f>IF($A59="","",SUMIFS('LANÇAMENTOS'!$G$6:$G$1005,'LANÇAMENTOS'!$I$6:$I$1005,($A$4*12+8),'LANÇAMENTOS'!$B$6:$B$1005,"SAÍDA",'LANÇAMENTOS'!$D$6:$D$1005,$A59))</f>
        <v/>
      </c>
      <c r="J59" s="31">
        <f>IF($A59="","",SUMIFS('LANÇAMENTOS'!$G$6:$G$1005,'LANÇAMENTOS'!$I$6:$I$1005,($A$4*12+9),'LANÇAMENTOS'!$B$6:$B$1005,"SAÍDA",'LANÇAMENTOS'!$D$6:$D$1005,$A59))</f>
        <v/>
      </c>
      <c r="K59" s="31">
        <f>IF($A59="","",SUMIFS('LANÇAMENTOS'!$G$6:$G$1005,'LANÇAMENTOS'!$I$6:$I$1005,($A$4*12+10),'LANÇAMENTOS'!$B$6:$B$1005,"SAÍDA",'LANÇAMENTOS'!$D$6:$D$1005,$A59))</f>
        <v/>
      </c>
      <c r="L59" s="31">
        <f>IF($A59="","",SUMIFS('LANÇAMENTOS'!$G$6:$G$1005,'LANÇAMENTOS'!$I$6:$I$1005,($A$4*12+11),'LANÇAMENTOS'!$B$6:$B$1005,"SAÍDA",'LANÇAMENTOS'!$D$6:$D$1005,$A59))</f>
        <v/>
      </c>
      <c r="M59" s="31">
        <f>IF($A59="","",SUMIFS('LANÇAMENTOS'!$G$6:$G$1005,'LANÇAMENTOS'!$I$6:$I$1005,($A$4*12+12),'LANÇAMENTOS'!$B$6:$B$1005,"SAÍDA",'LANÇAMENTOS'!$D$6:$D$1005,$A59))</f>
        <v/>
      </c>
      <c r="N59" s="43">
        <f>IF($A59="","",SUM(B59:M59))</f>
        <v/>
      </c>
    </row>
    <row r="60">
      <c r="A60" s="18">
        <f>IF(LISTAS!$B43="SAÍDA",LISTAS!$A43,"")</f>
        <v/>
      </c>
      <c r="B60" s="31">
        <f>IF($A60="","",SUMIFS('LANÇAMENTOS'!$G$6:$G$1005,'LANÇAMENTOS'!$I$6:$I$1005,($A$4*12+1),'LANÇAMENTOS'!$B$6:$B$1005,"SAÍDA",'LANÇAMENTOS'!$D$6:$D$1005,$A60))</f>
        <v/>
      </c>
      <c r="C60" s="31">
        <f>IF($A60="","",SUMIFS('LANÇAMENTOS'!$G$6:$G$1005,'LANÇAMENTOS'!$I$6:$I$1005,($A$4*12+2),'LANÇAMENTOS'!$B$6:$B$1005,"SAÍDA",'LANÇAMENTOS'!$D$6:$D$1005,$A60))</f>
        <v/>
      </c>
      <c r="D60" s="31">
        <f>IF($A60="","",SUMIFS('LANÇAMENTOS'!$G$6:$G$1005,'LANÇAMENTOS'!$I$6:$I$1005,($A$4*12+3),'LANÇAMENTOS'!$B$6:$B$1005,"SAÍDA",'LANÇAMENTOS'!$D$6:$D$1005,$A60))</f>
        <v/>
      </c>
      <c r="E60" s="31">
        <f>IF($A60="","",SUMIFS('LANÇAMENTOS'!$G$6:$G$1005,'LANÇAMENTOS'!$I$6:$I$1005,($A$4*12+4),'LANÇAMENTOS'!$B$6:$B$1005,"SAÍDA",'LANÇAMENTOS'!$D$6:$D$1005,$A60))</f>
        <v/>
      </c>
      <c r="F60" s="31">
        <f>IF($A60="","",SUMIFS('LANÇAMENTOS'!$G$6:$G$1005,'LANÇAMENTOS'!$I$6:$I$1005,($A$4*12+5),'LANÇAMENTOS'!$B$6:$B$1005,"SAÍDA",'LANÇAMENTOS'!$D$6:$D$1005,$A60))</f>
        <v/>
      </c>
      <c r="G60" s="31">
        <f>IF($A60="","",SUMIFS('LANÇAMENTOS'!$G$6:$G$1005,'LANÇAMENTOS'!$I$6:$I$1005,($A$4*12+6),'LANÇAMENTOS'!$B$6:$B$1005,"SAÍDA",'LANÇAMENTOS'!$D$6:$D$1005,$A60))</f>
        <v/>
      </c>
      <c r="H60" s="31">
        <f>IF($A60="","",SUMIFS('LANÇAMENTOS'!$G$6:$G$1005,'LANÇAMENTOS'!$I$6:$I$1005,($A$4*12+7),'LANÇAMENTOS'!$B$6:$B$1005,"SAÍDA",'LANÇAMENTOS'!$D$6:$D$1005,$A60))</f>
        <v/>
      </c>
      <c r="I60" s="31">
        <f>IF($A60="","",SUMIFS('LANÇAMENTOS'!$G$6:$G$1005,'LANÇAMENTOS'!$I$6:$I$1005,($A$4*12+8),'LANÇAMENTOS'!$B$6:$B$1005,"SAÍDA",'LANÇAMENTOS'!$D$6:$D$1005,$A60))</f>
        <v/>
      </c>
      <c r="J60" s="31">
        <f>IF($A60="","",SUMIFS('LANÇAMENTOS'!$G$6:$G$1005,'LANÇAMENTOS'!$I$6:$I$1005,($A$4*12+9),'LANÇAMENTOS'!$B$6:$B$1005,"SAÍDA",'LANÇAMENTOS'!$D$6:$D$1005,$A60))</f>
        <v/>
      </c>
      <c r="K60" s="31">
        <f>IF($A60="","",SUMIFS('LANÇAMENTOS'!$G$6:$G$1005,'LANÇAMENTOS'!$I$6:$I$1005,($A$4*12+10),'LANÇAMENTOS'!$B$6:$B$1005,"SAÍDA",'LANÇAMENTOS'!$D$6:$D$1005,$A60))</f>
        <v/>
      </c>
      <c r="L60" s="31">
        <f>IF($A60="","",SUMIFS('LANÇAMENTOS'!$G$6:$G$1005,'LANÇAMENTOS'!$I$6:$I$1005,($A$4*12+11),'LANÇAMENTOS'!$B$6:$B$1005,"SAÍDA",'LANÇAMENTOS'!$D$6:$D$1005,$A60))</f>
        <v/>
      </c>
      <c r="M60" s="31">
        <f>IF($A60="","",SUMIFS('LANÇAMENTOS'!$G$6:$G$1005,'LANÇAMENTOS'!$I$6:$I$1005,($A$4*12+12),'LANÇAMENTOS'!$B$6:$B$1005,"SAÍDA",'LANÇAMENTOS'!$D$6:$D$1005,$A60))</f>
        <v/>
      </c>
      <c r="N60" s="43">
        <f>IF($A60="","",SUM(B60:M60))</f>
        <v/>
      </c>
    </row>
    <row r="61">
      <c r="A61" s="18">
        <f>IF(LISTAS!$B44="SAÍDA",LISTAS!$A44,"")</f>
        <v/>
      </c>
      <c r="B61" s="31">
        <f>IF($A61="","",SUMIFS('LANÇAMENTOS'!$G$6:$G$1005,'LANÇAMENTOS'!$I$6:$I$1005,($A$4*12+1),'LANÇAMENTOS'!$B$6:$B$1005,"SAÍDA",'LANÇAMENTOS'!$D$6:$D$1005,$A61))</f>
        <v/>
      </c>
      <c r="C61" s="31">
        <f>IF($A61="","",SUMIFS('LANÇAMENTOS'!$G$6:$G$1005,'LANÇAMENTOS'!$I$6:$I$1005,($A$4*12+2),'LANÇAMENTOS'!$B$6:$B$1005,"SAÍDA",'LANÇAMENTOS'!$D$6:$D$1005,$A61))</f>
        <v/>
      </c>
      <c r="D61" s="31">
        <f>IF($A61="","",SUMIFS('LANÇAMENTOS'!$G$6:$G$1005,'LANÇAMENTOS'!$I$6:$I$1005,($A$4*12+3),'LANÇAMENTOS'!$B$6:$B$1005,"SAÍDA",'LANÇAMENTOS'!$D$6:$D$1005,$A61))</f>
        <v/>
      </c>
      <c r="E61" s="31">
        <f>IF($A61="","",SUMIFS('LANÇAMENTOS'!$G$6:$G$1005,'LANÇAMENTOS'!$I$6:$I$1005,($A$4*12+4),'LANÇAMENTOS'!$B$6:$B$1005,"SAÍDA",'LANÇAMENTOS'!$D$6:$D$1005,$A61))</f>
        <v/>
      </c>
      <c r="F61" s="31">
        <f>IF($A61="","",SUMIFS('LANÇAMENTOS'!$G$6:$G$1005,'LANÇAMENTOS'!$I$6:$I$1005,($A$4*12+5),'LANÇAMENTOS'!$B$6:$B$1005,"SAÍDA",'LANÇAMENTOS'!$D$6:$D$1005,$A61))</f>
        <v/>
      </c>
      <c r="G61" s="31">
        <f>IF($A61="","",SUMIFS('LANÇAMENTOS'!$G$6:$G$1005,'LANÇAMENTOS'!$I$6:$I$1005,($A$4*12+6),'LANÇAMENTOS'!$B$6:$B$1005,"SAÍDA",'LANÇAMENTOS'!$D$6:$D$1005,$A61))</f>
        <v/>
      </c>
      <c r="H61" s="31">
        <f>IF($A61="","",SUMIFS('LANÇAMENTOS'!$G$6:$G$1005,'LANÇAMENTOS'!$I$6:$I$1005,($A$4*12+7),'LANÇAMENTOS'!$B$6:$B$1005,"SAÍDA",'LANÇAMENTOS'!$D$6:$D$1005,$A61))</f>
        <v/>
      </c>
      <c r="I61" s="31">
        <f>IF($A61="","",SUMIFS('LANÇAMENTOS'!$G$6:$G$1005,'LANÇAMENTOS'!$I$6:$I$1005,($A$4*12+8),'LANÇAMENTOS'!$B$6:$B$1005,"SAÍDA",'LANÇAMENTOS'!$D$6:$D$1005,$A61))</f>
        <v/>
      </c>
      <c r="J61" s="31">
        <f>IF($A61="","",SUMIFS('LANÇAMENTOS'!$G$6:$G$1005,'LANÇAMENTOS'!$I$6:$I$1005,($A$4*12+9),'LANÇAMENTOS'!$B$6:$B$1005,"SAÍDA",'LANÇAMENTOS'!$D$6:$D$1005,$A61))</f>
        <v/>
      </c>
      <c r="K61" s="31">
        <f>IF($A61="","",SUMIFS('LANÇAMENTOS'!$G$6:$G$1005,'LANÇAMENTOS'!$I$6:$I$1005,($A$4*12+10),'LANÇAMENTOS'!$B$6:$B$1005,"SAÍDA",'LANÇAMENTOS'!$D$6:$D$1005,$A61))</f>
        <v/>
      </c>
      <c r="L61" s="31">
        <f>IF($A61="","",SUMIFS('LANÇAMENTOS'!$G$6:$G$1005,'LANÇAMENTOS'!$I$6:$I$1005,($A$4*12+11),'LANÇAMENTOS'!$B$6:$B$1005,"SAÍDA",'LANÇAMENTOS'!$D$6:$D$1005,$A61))</f>
        <v/>
      </c>
      <c r="M61" s="31">
        <f>IF($A61="","",SUMIFS('LANÇAMENTOS'!$G$6:$G$1005,'LANÇAMENTOS'!$I$6:$I$1005,($A$4*12+12),'LANÇAMENTOS'!$B$6:$B$1005,"SAÍDA",'LANÇAMENTOS'!$D$6:$D$1005,$A61))</f>
        <v/>
      </c>
      <c r="N61" s="43">
        <f>IF($A61="","",SUM(B61:M61))</f>
        <v/>
      </c>
    </row>
    <row r="62">
      <c r="A62" s="18">
        <f>IF(LISTAS!$B45="SAÍDA",LISTAS!$A45,"")</f>
        <v/>
      </c>
      <c r="B62" s="31">
        <f>IF($A62="","",SUMIFS('LANÇAMENTOS'!$G$6:$G$1005,'LANÇAMENTOS'!$I$6:$I$1005,($A$4*12+1),'LANÇAMENTOS'!$B$6:$B$1005,"SAÍDA",'LANÇAMENTOS'!$D$6:$D$1005,$A62))</f>
        <v/>
      </c>
      <c r="C62" s="31">
        <f>IF($A62="","",SUMIFS('LANÇAMENTOS'!$G$6:$G$1005,'LANÇAMENTOS'!$I$6:$I$1005,($A$4*12+2),'LANÇAMENTOS'!$B$6:$B$1005,"SAÍDA",'LANÇAMENTOS'!$D$6:$D$1005,$A62))</f>
        <v/>
      </c>
      <c r="D62" s="31">
        <f>IF($A62="","",SUMIFS('LANÇAMENTOS'!$G$6:$G$1005,'LANÇAMENTOS'!$I$6:$I$1005,($A$4*12+3),'LANÇAMENTOS'!$B$6:$B$1005,"SAÍDA",'LANÇAMENTOS'!$D$6:$D$1005,$A62))</f>
        <v/>
      </c>
      <c r="E62" s="31">
        <f>IF($A62="","",SUMIFS('LANÇAMENTOS'!$G$6:$G$1005,'LANÇAMENTOS'!$I$6:$I$1005,($A$4*12+4),'LANÇAMENTOS'!$B$6:$B$1005,"SAÍDA",'LANÇAMENTOS'!$D$6:$D$1005,$A62))</f>
        <v/>
      </c>
      <c r="F62" s="31">
        <f>IF($A62="","",SUMIFS('LANÇAMENTOS'!$G$6:$G$1005,'LANÇAMENTOS'!$I$6:$I$1005,($A$4*12+5),'LANÇAMENTOS'!$B$6:$B$1005,"SAÍDA",'LANÇAMENTOS'!$D$6:$D$1005,$A62))</f>
        <v/>
      </c>
      <c r="G62" s="31">
        <f>IF($A62="","",SUMIFS('LANÇAMENTOS'!$G$6:$G$1005,'LANÇAMENTOS'!$I$6:$I$1005,($A$4*12+6),'LANÇAMENTOS'!$B$6:$B$1005,"SAÍDA",'LANÇAMENTOS'!$D$6:$D$1005,$A62))</f>
        <v/>
      </c>
      <c r="H62" s="31">
        <f>IF($A62="","",SUMIFS('LANÇAMENTOS'!$G$6:$G$1005,'LANÇAMENTOS'!$I$6:$I$1005,($A$4*12+7),'LANÇAMENTOS'!$B$6:$B$1005,"SAÍDA",'LANÇAMENTOS'!$D$6:$D$1005,$A62))</f>
        <v/>
      </c>
      <c r="I62" s="31">
        <f>IF($A62="","",SUMIFS('LANÇAMENTOS'!$G$6:$G$1005,'LANÇAMENTOS'!$I$6:$I$1005,($A$4*12+8),'LANÇAMENTOS'!$B$6:$B$1005,"SAÍDA",'LANÇAMENTOS'!$D$6:$D$1005,$A62))</f>
        <v/>
      </c>
      <c r="J62" s="31">
        <f>IF($A62="","",SUMIFS('LANÇAMENTOS'!$G$6:$G$1005,'LANÇAMENTOS'!$I$6:$I$1005,($A$4*12+9),'LANÇAMENTOS'!$B$6:$B$1005,"SAÍDA",'LANÇAMENTOS'!$D$6:$D$1005,$A62))</f>
        <v/>
      </c>
      <c r="K62" s="31">
        <f>IF($A62="","",SUMIFS('LANÇAMENTOS'!$G$6:$G$1005,'LANÇAMENTOS'!$I$6:$I$1005,($A$4*12+10),'LANÇAMENTOS'!$B$6:$B$1005,"SAÍDA",'LANÇAMENTOS'!$D$6:$D$1005,$A62))</f>
        <v/>
      </c>
      <c r="L62" s="31">
        <f>IF($A62="","",SUMIFS('LANÇAMENTOS'!$G$6:$G$1005,'LANÇAMENTOS'!$I$6:$I$1005,($A$4*12+11),'LANÇAMENTOS'!$B$6:$B$1005,"SAÍDA",'LANÇAMENTOS'!$D$6:$D$1005,$A62))</f>
        <v/>
      </c>
      <c r="M62" s="31">
        <f>IF($A62="","",SUMIFS('LANÇAMENTOS'!$G$6:$G$1005,'LANÇAMENTOS'!$I$6:$I$1005,($A$4*12+12),'LANÇAMENTOS'!$B$6:$B$1005,"SAÍDA",'LANÇAMENTOS'!$D$6:$D$1005,$A62))</f>
        <v/>
      </c>
      <c r="N62" s="43">
        <f>IF($A62="","",SUM(B62:M62))</f>
        <v/>
      </c>
    </row>
    <row r="63">
      <c r="A63" s="41" t="inlineStr">
        <is>
          <t>TOTAL SAÍDAS</t>
        </is>
      </c>
      <c r="B63" s="32">
        <f>SUM(B23:B62)</f>
        <v/>
      </c>
      <c r="C63" s="32">
        <f>SUM(C23:C62)</f>
        <v/>
      </c>
      <c r="D63" s="32">
        <f>SUM(D23:D62)</f>
        <v/>
      </c>
      <c r="E63" s="32">
        <f>SUM(E23:E62)</f>
        <v/>
      </c>
      <c r="F63" s="32">
        <f>SUM(F23:F62)</f>
        <v/>
      </c>
      <c r="G63" s="32">
        <f>SUM(G23:G62)</f>
        <v/>
      </c>
      <c r="H63" s="32">
        <f>SUM(H23:H62)</f>
        <v/>
      </c>
      <c r="I63" s="32">
        <f>SUM(I23:I62)</f>
        <v/>
      </c>
      <c r="J63" s="32">
        <f>SUM(J23:J62)</f>
        <v/>
      </c>
      <c r="K63" s="32">
        <f>SUM(K23:K62)</f>
        <v/>
      </c>
      <c r="L63" s="32">
        <f>SUM(L23:L62)</f>
        <v/>
      </c>
      <c r="M63" s="32">
        <f>SUM(M23:M62)</f>
        <v/>
      </c>
      <c r="N63" s="32">
        <f>SUM(N23:N62)</f>
        <v/>
      </c>
    </row>
    <row r="66">
      <c r="A66" s="27" t="inlineStr">
        <is>
          <t>ENTRADAS POR CATEGORIA, MÊS A MÊS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9" t="n"/>
    </row>
    <row r="67" ht="30" customHeight="1">
      <c r="A67" s="15" t="inlineStr">
        <is>
          <t>Categoria</t>
        </is>
      </c>
      <c r="B67" s="15" t="inlineStr">
        <is>
          <t>Jan</t>
        </is>
      </c>
      <c r="C67" s="15" t="inlineStr">
        <is>
          <t>Fev</t>
        </is>
      </c>
      <c r="D67" s="15" t="inlineStr">
        <is>
          <t>Mar</t>
        </is>
      </c>
      <c r="E67" s="15" t="inlineStr">
        <is>
          <t>Abr</t>
        </is>
      </c>
      <c r="F67" s="15" t="inlineStr">
        <is>
          <t>Mai</t>
        </is>
      </c>
      <c r="G67" s="15" t="inlineStr">
        <is>
          <t>Jun</t>
        </is>
      </c>
      <c r="H67" s="15" t="inlineStr">
        <is>
          <t>Jul</t>
        </is>
      </c>
      <c r="I67" s="15" t="inlineStr">
        <is>
          <t>Ago</t>
        </is>
      </c>
      <c r="J67" s="15" t="inlineStr">
        <is>
          <t>Set</t>
        </is>
      </c>
      <c r="K67" s="15" t="inlineStr">
        <is>
          <t>Out</t>
        </is>
      </c>
      <c r="L67" s="15" t="inlineStr">
        <is>
          <t>Nov</t>
        </is>
      </c>
      <c r="M67" s="15" t="inlineStr">
        <is>
          <t>Dez</t>
        </is>
      </c>
      <c r="N67" s="15" t="inlineStr">
        <is>
          <t>Total do ano</t>
        </is>
      </c>
    </row>
    <row r="68">
      <c r="A68" s="18">
        <f>IF(LISTAS!$B6="ENTRADA",LISTAS!$A6,"")</f>
        <v/>
      </c>
      <c r="B68" s="31">
        <f>IF($A68="","",SUMIFS('LANÇAMENTOS'!$G$6:$G$1005,'LANÇAMENTOS'!$I$6:$I$1005,($A$4*12+1),'LANÇAMENTOS'!$B$6:$B$1005,"ENTRADA",'LANÇAMENTOS'!$D$6:$D$1005,$A68))</f>
        <v/>
      </c>
      <c r="C68" s="31">
        <f>IF($A68="","",SUMIFS('LANÇAMENTOS'!$G$6:$G$1005,'LANÇAMENTOS'!$I$6:$I$1005,($A$4*12+2),'LANÇAMENTOS'!$B$6:$B$1005,"ENTRADA",'LANÇAMENTOS'!$D$6:$D$1005,$A68))</f>
        <v/>
      </c>
      <c r="D68" s="31">
        <f>IF($A68="","",SUMIFS('LANÇAMENTOS'!$G$6:$G$1005,'LANÇAMENTOS'!$I$6:$I$1005,($A$4*12+3),'LANÇAMENTOS'!$B$6:$B$1005,"ENTRADA",'LANÇAMENTOS'!$D$6:$D$1005,$A68))</f>
        <v/>
      </c>
      <c r="E68" s="31">
        <f>IF($A68="","",SUMIFS('LANÇAMENTOS'!$G$6:$G$1005,'LANÇAMENTOS'!$I$6:$I$1005,($A$4*12+4),'LANÇAMENTOS'!$B$6:$B$1005,"ENTRADA",'LANÇAMENTOS'!$D$6:$D$1005,$A68))</f>
        <v/>
      </c>
      <c r="F68" s="31">
        <f>IF($A68="","",SUMIFS('LANÇAMENTOS'!$G$6:$G$1005,'LANÇAMENTOS'!$I$6:$I$1005,($A$4*12+5),'LANÇAMENTOS'!$B$6:$B$1005,"ENTRADA",'LANÇAMENTOS'!$D$6:$D$1005,$A68))</f>
        <v/>
      </c>
      <c r="G68" s="31">
        <f>IF($A68="","",SUMIFS('LANÇAMENTOS'!$G$6:$G$1005,'LANÇAMENTOS'!$I$6:$I$1005,($A$4*12+6),'LANÇAMENTOS'!$B$6:$B$1005,"ENTRADA",'LANÇAMENTOS'!$D$6:$D$1005,$A68))</f>
        <v/>
      </c>
      <c r="H68" s="31">
        <f>IF($A68="","",SUMIFS('LANÇAMENTOS'!$G$6:$G$1005,'LANÇAMENTOS'!$I$6:$I$1005,($A$4*12+7),'LANÇAMENTOS'!$B$6:$B$1005,"ENTRADA",'LANÇAMENTOS'!$D$6:$D$1005,$A68))</f>
        <v/>
      </c>
      <c r="I68" s="31">
        <f>IF($A68="","",SUMIFS('LANÇAMENTOS'!$G$6:$G$1005,'LANÇAMENTOS'!$I$6:$I$1005,($A$4*12+8),'LANÇAMENTOS'!$B$6:$B$1005,"ENTRADA",'LANÇAMENTOS'!$D$6:$D$1005,$A68))</f>
        <v/>
      </c>
      <c r="J68" s="31">
        <f>IF($A68="","",SUMIFS('LANÇAMENTOS'!$G$6:$G$1005,'LANÇAMENTOS'!$I$6:$I$1005,($A$4*12+9),'LANÇAMENTOS'!$B$6:$B$1005,"ENTRADA",'LANÇAMENTOS'!$D$6:$D$1005,$A68))</f>
        <v/>
      </c>
      <c r="K68" s="31">
        <f>IF($A68="","",SUMIFS('LANÇAMENTOS'!$G$6:$G$1005,'LANÇAMENTOS'!$I$6:$I$1005,($A$4*12+10),'LANÇAMENTOS'!$B$6:$B$1005,"ENTRADA",'LANÇAMENTOS'!$D$6:$D$1005,$A68))</f>
        <v/>
      </c>
      <c r="L68" s="31">
        <f>IF($A68="","",SUMIFS('LANÇAMENTOS'!$G$6:$G$1005,'LANÇAMENTOS'!$I$6:$I$1005,($A$4*12+11),'LANÇAMENTOS'!$B$6:$B$1005,"ENTRADA",'LANÇAMENTOS'!$D$6:$D$1005,$A68))</f>
        <v/>
      </c>
      <c r="M68" s="31">
        <f>IF($A68="","",SUMIFS('LANÇAMENTOS'!$G$6:$G$1005,'LANÇAMENTOS'!$I$6:$I$1005,($A$4*12+12),'LANÇAMENTOS'!$B$6:$B$1005,"ENTRADA",'LANÇAMENTOS'!$D$6:$D$1005,$A68))</f>
        <v/>
      </c>
      <c r="N68" s="43">
        <f>IF($A68="","",SUM(B68:M68))</f>
        <v/>
      </c>
    </row>
    <row r="69">
      <c r="A69" s="18">
        <f>IF(LISTAS!$B7="ENTRADA",LISTAS!$A7,"")</f>
        <v/>
      </c>
      <c r="B69" s="31">
        <f>IF($A69="","",SUMIFS('LANÇAMENTOS'!$G$6:$G$1005,'LANÇAMENTOS'!$I$6:$I$1005,($A$4*12+1),'LANÇAMENTOS'!$B$6:$B$1005,"ENTRADA",'LANÇAMENTOS'!$D$6:$D$1005,$A69))</f>
        <v/>
      </c>
      <c r="C69" s="31">
        <f>IF($A69="","",SUMIFS('LANÇAMENTOS'!$G$6:$G$1005,'LANÇAMENTOS'!$I$6:$I$1005,($A$4*12+2),'LANÇAMENTOS'!$B$6:$B$1005,"ENTRADA",'LANÇAMENTOS'!$D$6:$D$1005,$A69))</f>
        <v/>
      </c>
      <c r="D69" s="31">
        <f>IF($A69="","",SUMIFS('LANÇAMENTOS'!$G$6:$G$1005,'LANÇAMENTOS'!$I$6:$I$1005,($A$4*12+3),'LANÇAMENTOS'!$B$6:$B$1005,"ENTRADA",'LANÇAMENTOS'!$D$6:$D$1005,$A69))</f>
        <v/>
      </c>
      <c r="E69" s="31">
        <f>IF($A69="","",SUMIFS('LANÇAMENTOS'!$G$6:$G$1005,'LANÇAMENTOS'!$I$6:$I$1005,($A$4*12+4),'LANÇAMENTOS'!$B$6:$B$1005,"ENTRADA",'LANÇAMENTOS'!$D$6:$D$1005,$A69))</f>
        <v/>
      </c>
      <c r="F69" s="31">
        <f>IF($A69="","",SUMIFS('LANÇAMENTOS'!$G$6:$G$1005,'LANÇAMENTOS'!$I$6:$I$1005,($A$4*12+5),'LANÇAMENTOS'!$B$6:$B$1005,"ENTRADA",'LANÇAMENTOS'!$D$6:$D$1005,$A69))</f>
        <v/>
      </c>
      <c r="G69" s="31">
        <f>IF($A69="","",SUMIFS('LANÇAMENTOS'!$G$6:$G$1005,'LANÇAMENTOS'!$I$6:$I$1005,($A$4*12+6),'LANÇAMENTOS'!$B$6:$B$1005,"ENTRADA",'LANÇAMENTOS'!$D$6:$D$1005,$A69))</f>
        <v/>
      </c>
      <c r="H69" s="31">
        <f>IF($A69="","",SUMIFS('LANÇAMENTOS'!$G$6:$G$1005,'LANÇAMENTOS'!$I$6:$I$1005,($A$4*12+7),'LANÇAMENTOS'!$B$6:$B$1005,"ENTRADA",'LANÇAMENTOS'!$D$6:$D$1005,$A69))</f>
        <v/>
      </c>
      <c r="I69" s="31">
        <f>IF($A69="","",SUMIFS('LANÇAMENTOS'!$G$6:$G$1005,'LANÇAMENTOS'!$I$6:$I$1005,($A$4*12+8),'LANÇAMENTOS'!$B$6:$B$1005,"ENTRADA",'LANÇAMENTOS'!$D$6:$D$1005,$A69))</f>
        <v/>
      </c>
      <c r="J69" s="31">
        <f>IF($A69="","",SUMIFS('LANÇAMENTOS'!$G$6:$G$1005,'LANÇAMENTOS'!$I$6:$I$1005,($A$4*12+9),'LANÇAMENTOS'!$B$6:$B$1005,"ENTRADA",'LANÇAMENTOS'!$D$6:$D$1005,$A69))</f>
        <v/>
      </c>
      <c r="K69" s="31">
        <f>IF($A69="","",SUMIFS('LANÇAMENTOS'!$G$6:$G$1005,'LANÇAMENTOS'!$I$6:$I$1005,($A$4*12+10),'LANÇAMENTOS'!$B$6:$B$1005,"ENTRADA",'LANÇAMENTOS'!$D$6:$D$1005,$A69))</f>
        <v/>
      </c>
      <c r="L69" s="31">
        <f>IF($A69="","",SUMIFS('LANÇAMENTOS'!$G$6:$G$1005,'LANÇAMENTOS'!$I$6:$I$1005,($A$4*12+11),'LANÇAMENTOS'!$B$6:$B$1005,"ENTRADA",'LANÇAMENTOS'!$D$6:$D$1005,$A69))</f>
        <v/>
      </c>
      <c r="M69" s="31">
        <f>IF($A69="","",SUMIFS('LANÇAMENTOS'!$G$6:$G$1005,'LANÇAMENTOS'!$I$6:$I$1005,($A$4*12+12),'LANÇAMENTOS'!$B$6:$B$1005,"ENTRADA",'LANÇAMENTOS'!$D$6:$D$1005,$A69))</f>
        <v/>
      </c>
      <c r="N69" s="43">
        <f>IF($A69="","",SUM(B69:M69))</f>
        <v/>
      </c>
    </row>
    <row r="70">
      <c r="A70" s="18">
        <f>IF(LISTAS!$B8="ENTRADA",LISTAS!$A8,"")</f>
        <v/>
      </c>
      <c r="B70" s="31">
        <f>IF($A70="","",SUMIFS('LANÇAMENTOS'!$G$6:$G$1005,'LANÇAMENTOS'!$I$6:$I$1005,($A$4*12+1),'LANÇAMENTOS'!$B$6:$B$1005,"ENTRADA",'LANÇAMENTOS'!$D$6:$D$1005,$A70))</f>
        <v/>
      </c>
      <c r="C70" s="31">
        <f>IF($A70="","",SUMIFS('LANÇAMENTOS'!$G$6:$G$1005,'LANÇAMENTOS'!$I$6:$I$1005,($A$4*12+2),'LANÇAMENTOS'!$B$6:$B$1005,"ENTRADA",'LANÇAMENTOS'!$D$6:$D$1005,$A70))</f>
        <v/>
      </c>
      <c r="D70" s="31">
        <f>IF($A70="","",SUMIFS('LANÇAMENTOS'!$G$6:$G$1005,'LANÇAMENTOS'!$I$6:$I$1005,($A$4*12+3),'LANÇAMENTOS'!$B$6:$B$1005,"ENTRADA",'LANÇAMENTOS'!$D$6:$D$1005,$A70))</f>
        <v/>
      </c>
      <c r="E70" s="31">
        <f>IF($A70="","",SUMIFS('LANÇAMENTOS'!$G$6:$G$1005,'LANÇAMENTOS'!$I$6:$I$1005,($A$4*12+4),'LANÇAMENTOS'!$B$6:$B$1005,"ENTRADA",'LANÇAMENTOS'!$D$6:$D$1005,$A70))</f>
        <v/>
      </c>
      <c r="F70" s="31">
        <f>IF($A70="","",SUMIFS('LANÇAMENTOS'!$G$6:$G$1005,'LANÇAMENTOS'!$I$6:$I$1005,($A$4*12+5),'LANÇAMENTOS'!$B$6:$B$1005,"ENTRADA",'LANÇAMENTOS'!$D$6:$D$1005,$A70))</f>
        <v/>
      </c>
      <c r="G70" s="31">
        <f>IF($A70="","",SUMIFS('LANÇAMENTOS'!$G$6:$G$1005,'LANÇAMENTOS'!$I$6:$I$1005,($A$4*12+6),'LANÇAMENTOS'!$B$6:$B$1005,"ENTRADA",'LANÇAMENTOS'!$D$6:$D$1005,$A70))</f>
        <v/>
      </c>
      <c r="H70" s="31">
        <f>IF($A70="","",SUMIFS('LANÇAMENTOS'!$G$6:$G$1005,'LANÇAMENTOS'!$I$6:$I$1005,($A$4*12+7),'LANÇAMENTOS'!$B$6:$B$1005,"ENTRADA",'LANÇAMENTOS'!$D$6:$D$1005,$A70))</f>
        <v/>
      </c>
      <c r="I70" s="31">
        <f>IF($A70="","",SUMIFS('LANÇAMENTOS'!$G$6:$G$1005,'LANÇAMENTOS'!$I$6:$I$1005,($A$4*12+8),'LANÇAMENTOS'!$B$6:$B$1005,"ENTRADA",'LANÇAMENTOS'!$D$6:$D$1005,$A70))</f>
        <v/>
      </c>
      <c r="J70" s="31">
        <f>IF($A70="","",SUMIFS('LANÇAMENTOS'!$G$6:$G$1005,'LANÇAMENTOS'!$I$6:$I$1005,($A$4*12+9),'LANÇAMENTOS'!$B$6:$B$1005,"ENTRADA",'LANÇAMENTOS'!$D$6:$D$1005,$A70))</f>
        <v/>
      </c>
      <c r="K70" s="31">
        <f>IF($A70="","",SUMIFS('LANÇAMENTOS'!$G$6:$G$1005,'LANÇAMENTOS'!$I$6:$I$1005,($A$4*12+10),'LANÇAMENTOS'!$B$6:$B$1005,"ENTRADA",'LANÇAMENTOS'!$D$6:$D$1005,$A70))</f>
        <v/>
      </c>
      <c r="L70" s="31">
        <f>IF($A70="","",SUMIFS('LANÇAMENTOS'!$G$6:$G$1005,'LANÇAMENTOS'!$I$6:$I$1005,($A$4*12+11),'LANÇAMENTOS'!$B$6:$B$1005,"ENTRADA",'LANÇAMENTOS'!$D$6:$D$1005,$A70))</f>
        <v/>
      </c>
      <c r="M70" s="31">
        <f>IF($A70="","",SUMIFS('LANÇAMENTOS'!$G$6:$G$1005,'LANÇAMENTOS'!$I$6:$I$1005,($A$4*12+12),'LANÇAMENTOS'!$B$6:$B$1005,"ENTRADA",'LANÇAMENTOS'!$D$6:$D$1005,$A70))</f>
        <v/>
      </c>
      <c r="N70" s="43">
        <f>IF($A70="","",SUM(B70:M70))</f>
        <v/>
      </c>
    </row>
    <row r="71">
      <c r="A71" s="18">
        <f>IF(LISTAS!$B9="ENTRADA",LISTAS!$A9,"")</f>
        <v/>
      </c>
      <c r="B71" s="31">
        <f>IF($A71="","",SUMIFS('LANÇAMENTOS'!$G$6:$G$1005,'LANÇAMENTOS'!$I$6:$I$1005,($A$4*12+1),'LANÇAMENTOS'!$B$6:$B$1005,"ENTRADA",'LANÇAMENTOS'!$D$6:$D$1005,$A71))</f>
        <v/>
      </c>
      <c r="C71" s="31">
        <f>IF($A71="","",SUMIFS('LANÇAMENTOS'!$G$6:$G$1005,'LANÇAMENTOS'!$I$6:$I$1005,($A$4*12+2),'LANÇAMENTOS'!$B$6:$B$1005,"ENTRADA",'LANÇAMENTOS'!$D$6:$D$1005,$A71))</f>
        <v/>
      </c>
      <c r="D71" s="31">
        <f>IF($A71="","",SUMIFS('LANÇAMENTOS'!$G$6:$G$1005,'LANÇAMENTOS'!$I$6:$I$1005,($A$4*12+3),'LANÇAMENTOS'!$B$6:$B$1005,"ENTRADA",'LANÇAMENTOS'!$D$6:$D$1005,$A71))</f>
        <v/>
      </c>
      <c r="E71" s="31">
        <f>IF($A71="","",SUMIFS('LANÇAMENTOS'!$G$6:$G$1005,'LANÇAMENTOS'!$I$6:$I$1005,($A$4*12+4),'LANÇAMENTOS'!$B$6:$B$1005,"ENTRADA",'LANÇAMENTOS'!$D$6:$D$1005,$A71))</f>
        <v/>
      </c>
      <c r="F71" s="31">
        <f>IF($A71="","",SUMIFS('LANÇAMENTOS'!$G$6:$G$1005,'LANÇAMENTOS'!$I$6:$I$1005,($A$4*12+5),'LANÇAMENTOS'!$B$6:$B$1005,"ENTRADA",'LANÇAMENTOS'!$D$6:$D$1005,$A71))</f>
        <v/>
      </c>
      <c r="G71" s="31">
        <f>IF($A71="","",SUMIFS('LANÇAMENTOS'!$G$6:$G$1005,'LANÇAMENTOS'!$I$6:$I$1005,($A$4*12+6),'LANÇAMENTOS'!$B$6:$B$1005,"ENTRADA",'LANÇAMENTOS'!$D$6:$D$1005,$A71))</f>
        <v/>
      </c>
      <c r="H71" s="31">
        <f>IF($A71="","",SUMIFS('LANÇAMENTOS'!$G$6:$G$1005,'LANÇAMENTOS'!$I$6:$I$1005,($A$4*12+7),'LANÇAMENTOS'!$B$6:$B$1005,"ENTRADA",'LANÇAMENTOS'!$D$6:$D$1005,$A71))</f>
        <v/>
      </c>
      <c r="I71" s="31">
        <f>IF($A71="","",SUMIFS('LANÇAMENTOS'!$G$6:$G$1005,'LANÇAMENTOS'!$I$6:$I$1005,($A$4*12+8),'LANÇAMENTOS'!$B$6:$B$1005,"ENTRADA",'LANÇAMENTOS'!$D$6:$D$1005,$A71))</f>
        <v/>
      </c>
      <c r="J71" s="31">
        <f>IF($A71="","",SUMIFS('LANÇAMENTOS'!$G$6:$G$1005,'LANÇAMENTOS'!$I$6:$I$1005,($A$4*12+9),'LANÇAMENTOS'!$B$6:$B$1005,"ENTRADA",'LANÇAMENTOS'!$D$6:$D$1005,$A71))</f>
        <v/>
      </c>
      <c r="K71" s="31">
        <f>IF($A71="","",SUMIFS('LANÇAMENTOS'!$G$6:$G$1005,'LANÇAMENTOS'!$I$6:$I$1005,($A$4*12+10),'LANÇAMENTOS'!$B$6:$B$1005,"ENTRADA",'LANÇAMENTOS'!$D$6:$D$1005,$A71))</f>
        <v/>
      </c>
      <c r="L71" s="31">
        <f>IF($A71="","",SUMIFS('LANÇAMENTOS'!$G$6:$G$1005,'LANÇAMENTOS'!$I$6:$I$1005,($A$4*12+11),'LANÇAMENTOS'!$B$6:$B$1005,"ENTRADA",'LANÇAMENTOS'!$D$6:$D$1005,$A71))</f>
        <v/>
      </c>
      <c r="M71" s="31">
        <f>IF($A71="","",SUMIFS('LANÇAMENTOS'!$G$6:$G$1005,'LANÇAMENTOS'!$I$6:$I$1005,($A$4*12+12),'LANÇAMENTOS'!$B$6:$B$1005,"ENTRADA",'LANÇAMENTOS'!$D$6:$D$1005,$A71))</f>
        <v/>
      </c>
      <c r="N71" s="43">
        <f>IF($A71="","",SUM(B71:M71))</f>
        <v/>
      </c>
    </row>
    <row r="72">
      <c r="A72" s="18">
        <f>IF(LISTAS!$B10="ENTRADA",LISTAS!$A10,"")</f>
        <v/>
      </c>
      <c r="B72" s="31">
        <f>IF($A72="","",SUMIFS('LANÇAMENTOS'!$G$6:$G$1005,'LANÇAMENTOS'!$I$6:$I$1005,($A$4*12+1),'LANÇAMENTOS'!$B$6:$B$1005,"ENTRADA",'LANÇAMENTOS'!$D$6:$D$1005,$A72))</f>
        <v/>
      </c>
      <c r="C72" s="31">
        <f>IF($A72="","",SUMIFS('LANÇAMENTOS'!$G$6:$G$1005,'LANÇAMENTOS'!$I$6:$I$1005,($A$4*12+2),'LANÇAMENTOS'!$B$6:$B$1005,"ENTRADA",'LANÇAMENTOS'!$D$6:$D$1005,$A72))</f>
        <v/>
      </c>
      <c r="D72" s="31">
        <f>IF($A72="","",SUMIFS('LANÇAMENTOS'!$G$6:$G$1005,'LANÇAMENTOS'!$I$6:$I$1005,($A$4*12+3),'LANÇAMENTOS'!$B$6:$B$1005,"ENTRADA",'LANÇAMENTOS'!$D$6:$D$1005,$A72))</f>
        <v/>
      </c>
      <c r="E72" s="31">
        <f>IF($A72="","",SUMIFS('LANÇAMENTOS'!$G$6:$G$1005,'LANÇAMENTOS'!$I$6:$I$1005,($A$4*12+4),'LANÇAMENTOS'!$B$6:$B$1005,"ENTRADA",'LANÇAMENTOS'!$D$6:$D$1005,$A72))</f>
        <v/>
      </c>
      <c r="F72" s="31">
        <f>IF($A72="","",SUMIFS('LANÇAMENTOS'!$G$6:$G$1005,'LANÇAMENTOS'!$I$6:$I$1005,($A$4*12+5),'LANÇAMENTOS'!$B$6:$B$1005,"ENTRADA",'LANÇAMENTOS'!$D$6:$D$1005,$A72))</f>
        <v/>
      </c>
      <c r="G72" s="31">
        <f>IF($A72="","",SUMIFS('LANÇAMENTOS'!$G$6:$G$1005,'LANÇAMENTOS'!$I$6:$I$1005,($A$4*12+6),'LANÇAMENTOS'!$B$6:$B$1005,"ENTRADA",'LANÇAMENTOS'!$D$6:$D$1005,$A72))</f>
        <v/>
      </c>
      <c r="H72" s="31">
        <f>IF($A72="","",SUMIFS('LANÇAMENTOS'!$G$6:$G$1005,'LANÇAMENTOS'!$I$6:$I$1005,($A$4*12+7),'LANÇAMENTOS'!$B$6:$B$1005,"ENTRADA",'LANÇAMENTOS'!$D$6:$D$1005,$A72))</f>
        <v/>
      </c>
      <c r="I72" s="31">
        <f>IF($A72="","",SUMIFS('LANÇAMENTOS'!$G$6:$G$1005,'LANÇAMENTOS'!$I$6:$I$1005,($A$4*12+8),'LANÇAMENTOS'!$B$6:$B$1005,"ENTRADA",'LANÇAMENTOS'!$D$6:$D$1005,$A72))</f>
        <v/>
      </c>
      <c r="J72" s="31">
        <f>IF($A72="","",SUMIFS('LANÇAMENTOS'!$G$6:$G$1005,'LANÇAMENTOS'!$I$6:$I$1005,($A$4*12+9),'LANÇAMENTOS'!$B$6:$B$1005,"ENTRADA",'LANÇAMENTOS'!$D$6:$D$1005,$A72))</f>
        <v/>
      </c>
      <c r="K72" s="31">
        <f>IF($A72="","",SUMIFS('LANÇAMENTOS'!$G$6:$G$1005,'LANÇAMENTOS'!$I$6:$I$1005,($A$4*12+10),'LANÇAMENTOS'!$B$6:$B$1005,"ENTRADA",'LANÇAMENTOS'!$D$6:$D$1005,$A72))</f>
        <v/>
      </c>
      <c r="L72" s="31">
        <f>IF($A72="","",SUMIFS('LANÇAMENTOS'!$G$6:$G$1005,'LANÇAMENTOS'!$I$6:$I$1005,($A$4*12+11),'LANÇAMENTOS'!$B$6:$B$1005,"ENTRADA",'LANÇAMENTOS'!$D$6:$D$1005,$A72))</f>
        <v/>
      </c>
      <c r="M72" s="31">
        <f>IF($A72="","",SUMIFS('LANÇAMENTOS'!$G$6:$G$1005,'LANÇAMENTOS'!$I$6:$I$1005,($A$4*12+12),'LANÇAMENTOS'!$B$6:$B$1005,"ENTRADA",'LANÇAMENTOS'!$D$6:$D$1005,$A72))</f>
        <v/>
      </c>
      <c r="N72" s="43">
        <f>IF($A72="","",SUM(B72:M72))</f>
        <v/>
      </c>
    </row>
    <row r="73">
      <c r="A73" s="18">
        <f>IF(LISTAS!$B11="ENTRADA",LISTAS!$A11,"")</f>
        <v/>
      </c>
      <c r="B73" s="31">
        <f>IF($A73="","",SUMIFS('LANÇAMENTOS'!$G$6:$G$1005,'LANÇAMENTOS'!$I$6:$I$1005,($A$4*12+1),'LANÇAMENTOS'!$B$6:$B$1005,"ENTRADA",'LANÇAMENTOS'!$D$6:$D$1005,$A73))</f>
        <v/>
      </c>
      <c r="C73" s="31">
        <f>IF($A73="","",SUMIFS('LANÇAMENTOS'!$G$6:$G$1005,'LANÇAMENTOS'!$I$6:$I$1005,($A$4*12+2),'LANÇAMENTOS'!$B$6:$B$1005,"ENTRADA",'LANÇAMENTOS'!$D$6:$D$1005,$A73))</f>
        <v/>
      </c>
      <c r="D73" s="31">
        <f>IF($A73="","",SUMIFS('LANÇAMENTOS'!$G$6:$G$1005,'LANÇAMENTOS'!$I$6:$I$1005,($A$4*12+3),'LANÇAMENTOS'!$B$6:$B$1005,"ENTRADA",'LANÇAMENTOS'!$D$6:$D$1005,$A73))</f>
        <v/>
      </c>
      <c r="E73" s="31">
        <f>IF($A73="","",SUMIFS('LANÇAMENTOS'!$G$6:$G$1005,'LANÇAMENTOS'!$I$6:$I$1005,($A$4*12+4),'LANÇAMENTOS'!$B$6:$B$1005,"ENTRADA",'LANÇAMENTOS'!$D$6:$D$1005,$A73))</f>
        <v/>
      </c>
      <c r="F73" s="31">
        <f>IF($A73="","",SUMIFS('LANÇAMENTOS'!$G$6:$G$1005,'LANÇAMENTOS'!$I$6:$I$1005,($A$4*12+5),'LANÇAMENTOS'!$B$6:$B$1005,"ENTRADA",'LANÇAMENTOS'!$D$6:$D$1005,$A73))</f>
        <v/>
      </c>
      <c r="G73" s="31">
        <f>IF($A73="","",SUMIFS('LANÇAMENTOS'!$G$6:$G$1005,'LANÇAMENTOS'!$I$6:$I$1005,($A$4*12+6),'LANÇAMENTOS'!$B$6:$B$1005,"ENTRADA",'LANÇAMENTOS'!$D$6:$D$1005,$A73))</f>
        <v/>
      </c>
      <c r="H73" s="31">
        <f>IF($A73="","",SUMIFS('LANÇAMENTOS'!$G$6:$G$1005,'LANÇAMENTOS'!$I$6:$I$1005,($A$4*12+7),'LANÇAMENTOS'!$B$6:$B$1005,"ENTRADA",'LANÇAMENTOS'!$D$6:$D$1005,$A73))</f>
        <v/>
      </c>
      <c r="I73" s="31">
        <f>IF($A73="","",SUMIFS('LANÇAMENTOS'!$G$6:$G$1005,'LANÇAMENTOS'!$I$6:$I$1005,($A$4*12+8),'LANÇAMENTOS'!$B$6:$B$1005,"ENTRADA",'LANÇAMENTOS'!$D$6:$D$1005,$A73))</f>
        <v/>
      </c>
      <c r="J73" s="31">
        <f>IF($A73="","",SUMIFS('LANÇAMENTOS'!$G$6:$G$1005,'LANÇAMENTOS'!$I$6:$I$1005,($A$4*12+9),'LANÇAMENTOS'!$B$6:$B$1005,"ENTRADA",'LANÇAMENTOS'!$D$6:$D$1005,$A73))</f>
        <v/>
      </c>
      <c r="K73" s="31">
        <f>IF($A73="","",SUMIFS('LANÇAMENTOS'!$G$6:$G$1005,'LANÇAMENTOS'!$I$6:$I$1005,($A$4*12+10),'LANÇAMENTOS'!$B$6:$B$1005,"ENTRADA",'LANÇAMENTOS'!$D$6:$D$1005,$A73))</f>
        <v/>
      </c>
      <c r="L73" s="31">
        <f>IF($A73="","",SUMIFS('LANÇAMENTOS'!$G$6:$G$1005,'LANÇAMENTOS'!$I$6:$I$1005,($A$4*12+11),'LANÇAMENTOS'!$B$6:$B$1005,"ENTRADA",'LANÇAMENTOS'!$D$6:$D$1005,$A73))</f>
        <v/>
      </c>
      <c r="M73" s="31">
        <f>IF($A73="","",SUMIFS('LANÇAMENTOS'!$G$6:$G$1005,'LANÇAMENTOS'!$I$6:$I$1005,($A$4*12+12),'LANÇAMENTOS'!$B$6:$B$1005,"ENTRADA",'LANÇAMENTOS'!$D$6:$D$1005,$A73))</f>
        <v/>
      </c>
      <c r="N73" s="43">
        <f>IF($A73="","",SUM(B73:M73))</f>
        <v/>
      </c>
    </row>
    <row r="74">
      <c r="A74" s="18">
        <f>IF(LISTAS!$B12="ENTRADA",LISTAS!$A12,"")</f>
        <v/>
      </c>
      <c r="B74" s="31">
        <f>IF($A74="","",SUMIFS('LANÇAMENTOS'!$G$6:$G$1005,'LANÇAMENTOS'!$I$6:$I$1005,($A$4*12+1),'LANÇAMENTOS'!$B$6:$B$1005,"ENTRADA",'LANÇAMENTOS'!$D$6:$D$1005,$A74))</f>
        <v/>
      </c>
      <c r="C74" s="31">
        <f>IF($A74="","",SUMIFS('LANÇAMENTOS'!$G$6:$G$1005,'LANÇAMENTOS'!$I$6:$I$1005,($A$4*12+2),'LANÇAMENTOS'!$B$6:$B$1005,"ENTRADA",'LANÇAMENTOS'!$D$6:$D$1005,$A74))</f>
        <v/>
      </c>
      <c r="D74" s="31">
        <f>IF($A74="","",SUMIFS('LANÇAMENTOS'!$G$6:$G$1005,'LANÇAMENTOS'!$I$6:$I$1005,($A$4*12+3),'LANÇAMENTOS'!$B$6:$B$1005,"ENTRADA",'LANÇAMENTOS'!$D$6:$D$1005,$A74))</f>
        <v/>
      </c>
      <c r="E74" s="31">
        <f>IF($A74="","",SUMIFS('LANÇAMENTOS'!$G$6:$G$1005,'LANÇAMENTOS'!$I$6:$I$1005,($A$4*12+4),'LANÇAMENTOS'!$B$6:$B$1005,"ENTRADA",'LANÇAMENTOS'!$D$6:$D$1005,$A74))</f>
        <v/>
      </c>
      <c r="F74" s="31">
        <f>IF($A74="","",SUMIFS('LANÇAMENTOS'!$G$6:$G$1005,'LANÇAMENTOS'!$I$6:$I$1005,($A$4*12+5),'LANÇAMENTOS'!$B$6:$B$1005,"ENTRADA",'LANÇAMENTOS'!$D$6:$D$1005,$A74))</f>
        <v/>
      </c>
      <c r="G74" s="31">
        <f>IF($A74="","",SUMIFS('LANÇAMENTOS'!$G$6:$G$1005,'LANÇAMENTOS'!$I$6:$I$1005,($A$4*12+6),'LANÇAMENTOS'!$B$6:$B$1005,"ENTRADA",'LANÇAMENTOS'!$D$6:$D$1005,$A74))</f>
        <v/>
      </c>
      <c r="H74" s="31">
        <f>IF($A74="","",SUMIFS('LANÇAMENTOS'!$G$6:$G$1005,'LANÇAMENTOS'!$I$6:$I$1005,($A$4*12+7),'LANÇAMENTOS'!$B$6:$B$1005,"ENTRADA",'LANÇAMENTOS'!$D$6:$D$1005,$A74))</f>
        <v/>
      </c>
      <c r="I74" s="31">
        <f>IF($A74="","",SUMIFS('LANÇAMENTOS'!$G$6:$G$1005,'LANÇAMENTOS'!$I$6:$I$1005,($A$4*12+8),'LANÇAMENTOS'!$B$6:$B$1005,"ENTRADA",'LANÇAMENTOS'!$D$6:$D$1005,$A74))</f>
        <v/>
      </c>
      <c r="J74" s="31">
        <f>IF($A74="","",SUMIFS('LANÇAMENTOS'!$G$6:$G$1005,'LANÇAMENTOS'!$I$6:$I$1005,($A$4*12+9),'LANÇAMENTOS'!$B$6:$B$1005,"ENTRADA",'LANÇAMENTOS'!$D$6:$D$1005,$A74))</f>
        <v/>
      </c>
      <c r="K74" s="31">
        <f>IF($A74="","",SUMIFS('LANÇAMENTOS'!$G$6:$G$1005,'LANÇAMENTOS'!$I$6:$I$1005,($A$4*12+10),'LANÇAMENTOS'!$B$6:$B$1005,"ENTRADA",'LANÇAMENTOS'!$D$6:$D$1005,$A74))</f>
        <v/>
      </c>
      <c r="L74" s="31">
        <f>IF($A74="","",SUMIFS('LANÇAMENTOS'!$G$6:$G$1005,'LANÇAMENTOS'!$I$6:$I$1005,($A$4*12+11),'LANÇAMENTOS'!$B$6:$B$1005,"ENTRADA",'LANÇAMENTOS'!$D$6:$D$1005,$A74))</f>
        <v/>
      </c>
      <c r="M74" s="31">
        <f>IF($A74="","",SUMIFS('LANÇAMENTOS'!$G$6:$G$1005,'LANÇAMENTOS'!$I$6:$I$1005,($A$4*12+12),'LANÇAMENTOS'!$B$6:$B$1005,"ENTRADA",'LANÇAMENTOS'!$D$6:$D$1005,$A74))</f>
        <v/>
      </c>
      <c r="N74" s="43">
        <f>IF($A74="","",SUM(B74:M74))</f>
        <v/>
      </c>
    </row>
    <row r="75">
      <c r="A75" s="18">
        <f>IF(LISTAS!$B13="ENTRADA",LISTAS!$A13,"")</f>
        <v/>
      </c>
      <c r="B75" s="31">
        <f>IF($A75="","",SUMIFS('LANÇAMENTOS'!$G$6:$G$1005,'LANÇAMENTOS'!$I$6:$I$1005,($A$4*12+1),'LANÇAMENTOS'!$B$6:$B$1005,"ENTRADA",'LANÇAMENTOS'!$D$6:$D$1005,$A75))</f>
        <v/>
      </c>
      <c r="C75" s="31">
        <f>IF($A75="","",SUMIFS('LANÇAMENTOS'!$G$6:$G$1005,'LANÇAMENTOS'!$I$6:$I$1005,($A$4*12+2),'LANÇAMENTOS'!$B$6:$B$1005,"ENTRADA",'LANÇAMENTOS'!$D$6:$D$1005,$A75))</f>
        <v/>
      </c>
      <c r="D75" s="31">
        <f>IF($A75="","",SUMIFS('LANÇAMENTOS'!$G$6:$G$1005,'LANÇAMENTOS'!$I$6:$I$1005,($A$4*12+3),'LANÇAMENTOS'!$B$6:$B$1005,"ENTRADA",'LANÇAMENTOS'!$D$6:$D$1005,$A75))</f>
        <v/>
      </c>
      <c r="E75" s="31">
        <f>IF($A75="","",SUMIFS('LANÇAMENTOS'!$G$6:$G$1005,'LANÇAMENTOS'!$I$6:$I$1005,($A$4*12+4),'LANÇAMENTOS'!$B$6:$B$1005,"ENTRADA",'LANÇAMENTOS'!$D$6:$D$1005,$A75))</f>
        <v/>
      </c>
      <c r="F75" s="31">
        <f>IF($A75="","",SUMIFS('LANÇAMENTOS'!$G$6:$G$1005,'LANÇAMENTOS'!$I$6:$I$1005,($A$4*12+5),'LANÇAMENTOS'!$B$6:$B$1005,"ENTRADA",'LANÇAMENTOS'!$D$6:$D$1005,$A75))</f>
        <v/>
      </c>
      <c r="G75" s="31">
        <f>IF($A75="","",SUMIFS('LANÇAMENTOS'!$G$6:$G$1005,'LANÇAMENTOS'!$I$6:$I$1005,($A$4*12+6),'LANÇAMENTOS'!$B$6:$B$1005,"ENTRADA",'LANÇAMENTOS'!$D$6:$D$1005,$A75))</f>
        <v/>
      </c>
      <c r="H75" s="31">
        <f>IF($A75="","",SUMIFS('LANÇAMENTOS'!$G$6:$G$1005,'LANÇAMENTOS'!$I$6:$I$1005,($A$4*12+7),'LANÇAMENTOS'!$B$6:$B$1005,"ENTRADA",'LANÇAMENTOS'!$D$6:$D$1005,$A75))</f>
        <v/>
      </c>
      <c r="I75" s="31">
        <f>IF($A75="","",SUMIFS('LANÇAMENTOS'!$G$6:$G$1005,'LANÇAMENTOS'!$I$6:$I$1005,($A$4*12+8),'LANÇAMENTOS'!$B$6:$B$1005,"ENTRADA",'LANÇAMENTOS'!$D$6:$D$1005,$A75))</f>
        <v/>
      </c>
      <c r="J75" s="31">
        <f>IF($A75="","",SUMIFS('LANÇAMENTOS'!$G$6:$G$1005,'LANÇAMENTOS'!$I$6:$I$1005,($A$4*12+9),'LANÇAMENTOS'!$B$6:$B$1005,"ENTRADA",'LANÇAMENTOS'!$D$6:$D$1005,$A75))</f>
        <v/>
      </c>
      <c r="K75" s="31">
        <f>IF($A75="","",SUMIFS('LANÇAMENTOS'!$G$6:$G$1005,'LANÇAMENTOS'!$I$6:$I$1005,($A$4*12+10),'LANÇAMENTOS'!$B$6:$B$1005,"ENTRADA",'LANÇAMENTOS'!$D$6:$D$1005,$A75))</f>
        <v/>
      </c>
      <c r="L75" s="31">
        <f>IF($A75="","",SUMIFS('LANÇAMENTOS'!$G$6:$G$1005,'LANÇAMENTOS'!$I$6:$I$1005,($A$4*12+11),'LANÇAMENTOS'!$B$6:$B$1005,"ENTRADA",'LANÇAMENTOS'!$D$6:$D$1005,$A75))</f>
        <v/>
      </c>
      <c r="M75" s="31">
        <f>IF($A75="","",SUMIFS('LANÇAMENTOS'!$G$6:$G$1005,'LANÇAMENTOS'!$I$6:$I$1005,($A$4*12+12),'LANÇAMENTOS'!$B$6:$B$1005,"ENTRADA",'LANÇAMENTOS'!$D$6:$D$1005,$A75))</f>
        <v/>
      </c>
      <c r="N75" s="43">
        <f>IF($A75="","",SUM(B75:M75))</f>
        <v/>
      </c>
    </row>
    <row r="76">
      <c r="A76" s="18">
        <f>IF(LISTAS!$B14="ENTRADA",LISTAS!$A14,"")</f>
        <v/>
      </c>
      <c r="B76" s="31">
        <f>IF($A76="","",SUMIFS('LANÇAMENTOS'!$G$6:$G$1005,'LANÇAMENTOS'!$I$6:$I$1005,($A$4*12+1),'LANÇAMENTOS'!$B$6:$B$1005,"ENTRADA",'LANÇAMENTOS'!$D$6:$D$1005,$A76))</f>
        <v/>
      </c>
      <c r="C76" s="31">
        <f>IF($A76="","",SUMIFS('LANÇAMENTOS'!$G$6:$G$1005,'LANÇAMENTOS'!$I$6:$I$1005,($A$4*12+2),'LANÇAMENTOS'!$B$6:$B$1005,"ENTRADA",'LANÇAMENTOS'!$D$6:$D$1005,$A76))</f>
        <v/>
      </c>
      <c r="D76" s="31">
        <f>IF($A76="","",SUMIFS('LANÇAMENTOS'!$G$6:$G$1005,'LANÇAMENTOS'!$I$6:$I$1005,($A$4*12+3),'LANÇAMENTOS'!$B$6:$B$1005,"ENTRADA",'LANÇAMENTOS'!$D$6:$D$1005,$A76))</f>
        <v/>
      </c>
      <c r="E76" s="31">
        <f>IF($A76="","",SUMIFS('LANÇAMENTOS'!$G$6:$G$1005,'LANÇAMENTOS'!$I$6:$I$1005,($A$4*12+4),'LANÇAMENTOS'!$B$6:$B$1005,"ENTRADA",'LANÇAMENTOS'!$D$6:$D$1005,$A76))</f>
        <v/>
      </c>
      <c r="F76" s="31">
        <f>IF($A76="","",SUMIFS('LANÇAMENTOS'!$G$6:$G$1005,'LANÇAMENTOS'!$I$6:$I$1005,($A$4*12+5),'LANÇAMENTOS'!$B$6:$B$1005,"ENTRADA",'LANÇAMENTOS'!$D$6:$D$1005,$A76))</f>
        <v/>
      </c>
      <c r="G76" s="31">
        <f>IF($A76="","",SUMIFS('LANÇAMENTOS'!$G$6:$G$1005,'LANÇAMENTOS'!$I$6:$I$1005,($A$4*12+6),'LANÇAMENTOS'!$B$6:$B$1005,"ENTRADA",'LANÇAMENTOS'!$D$6:$D$1005,$A76))</f>
        <v/>
      </c>
      <c r="H76" s="31">
        <f>IF($A76="","",SUMIFS('LANÇAMENTOS'!$G$6:$G$1005,'LANÇAMENTOS'!$I$6:$I$1005,($A$4*12+7),'LANÇAMENTOS'!$B$6:$B$1005,"ENTRADA",'LANÇAMENTOS'!$D$6:$D$1005,$A76))</f>
        <v/>
      </c>
      <c r="I76" s="31">
        <f>IF($A76="","",SUMIFS('LANÇAMENTOS'!$G$6:$G$1005,'LANÇAMENTOS'!$I$6:$I$1005,($A$4*12+8),'LANÇAMENTOS'!$B$6:$B$1005,"ENTRADA",'LANÇAMENTOS'!$D$6:$D$1005,$A76))</f>
        <v/>
      </c>
      <c r="J76" s="31">
        <f>IF($A76="","",SUMIFS('LANÇAMENTOS'!$G$6:$G$1005,'LANÇAMENTOS'!$I$6:$I$1005,($A$4*12+9),'LANÇAMENTOS'!$B$6:$B$1005,"ENTRADA",'LANÇAMENTOS'!$D$6:$D$1005,$A76))</f>
        <v/>
      </c>
      <c r="K76" s="31">
        <f>IF($A76="","",SUMIFS('LANÇAMENTOS'!$G$6:$G$1005,'LANÇAMENTOS'!$I$6:$I$1005,($A$4*12+10),'LANÇAMENTOS'!$B$6:$B$1005,"ENTRADA",'LANÇAMENTOS'!$D$6:$D$1005,$A76))</f>
        <v/>
      </c>
      <c r="L76" s="31">
        <f>IF($A76="","",SUMIFS('LANÇAMENTOS'!$G$6:$G$1005,'LANÇAMENTOS'!$I$6:$I$1005,($A$4*12+11),'LANÇAMENTOS'!$B$6:$B$1005,"ENTRADA",'LANÇAMENTOS'!$D$6:$D$1005,$A76))</f>
        <v/>
      </c>
      <c r="M76" s="31">
        <f>IF($A76="","",SUMIFS('LANÇAMENTOS'!$G$6:$G$1005,'LANÇAMENTOS'!$I$6:$I$1005,($A$4*12+12),'LANÇAMENTOS'!$B$6:$B$1005,"ENTRADA",'LANÇAMENTOS'!$D$6:$D$1005,$A76))</f>
        <v/>
      </c>
      <c r="N76" s="43">
        <f>IF($A76="","",SUM(B76:M76))</f>
        <v/>
      </c>
    </row>
    <row r="77">
      <c r="A77" s="18">
        <f>IF(LISTAS!$B15="ENTRADA",LISTAS!$A15,"")</f>
        <v/>
      </c>
      <c r="B77" s="31">
        <f>IF($A77="","",SUMIFS('LANÇAMENTOS'!$G$6:$G$1005,'LANÇAMENTOS'!$I$6:$I$1005,($A$4*12+1),'LANÇAMENTOS'!$B$6:$B$1005,"ENTRADA",'LANÇAMENTOS'!$D$6:$D$1005,$A77))</f>
        <v/>
      </c>
      <c r="C77" s="31">
        <f>IF($A77="","",SUMIFS('LANÇAMENTOS'!$G$6:$G$1005,'LANÇAMENTOS'!$I$6:$I$1005,($A$4*12+2),'LANÇAMENTOS'!$B$6:$B$1005,"ENTRADA",'LANÇAMENTOS'!$D$6:$D$1005,$A77))</f>
        <v/>
      </c>
      <c r="D77" s="31">
        <f>IF($A77="","",SUMIFS('LANÇAMENTOS'!$G$6:$G$1005,'LANÇAMENTOS'!$I$6:$I$1005,($A$4*12+3),'LANÇAMENTOS'!$B$6:$B$1005,"ENTRADA",'LANÇAMENTOS'!$D$6:$D$1005,$A77))</f>
        <v/>
      </c>
      <c r="E77" s="31">
        <f>IF($A77="","",SUMIFS('LANÇAMENTOS'!$G$6:$G$1005,'LANÇAMENTOS'!$I$6:$I$1005,($A$4*12+4),'LANÇAMENTOS'!$B$6:$B$1005,"ENTRADA",'LANÇAMENTOS'!$D$6:$D$1005,$A77))</f>
        <v/>
      </c>
      <c r="F77" s="31">
        <f>IF($A77="","",SUMIFS('LANÇAMENTOS'!$G$6:$G$1005,'LANÇAMENTOS'!$I$6:$I$1005,($A$4*12+5),'LANÇAMENTOS'!$B$6:$B$1005,"ENTRADA",'LANÇAMENTOS'!$D$6:$D$1005,$A77))</f>
        <v/>
      </c>
      <c r="G77" s="31">
        <f>IF($A77="","",SUMIFS('LANÇAMENTOS'!$G$6:$G$1005,'LANÇAMENTOS'!$I$6:$I$1005,($A$4*12+6),'LANÇAMENTOS'!$B$6:$B$1005,"ENTRADA",'LANÇAMENTOS'!$D$6:$D$1005,$A77))</f>
        <v/>
      </c>
      <c r="H77" s="31">
        <f>IF($A77="","",SUMIFS('LANÇAMENTOS'!$G$6:$G$1005,'LANÇAMENTOS'!$I$6:$I$1005,($A$4*12+7),'LANÇAMENTOS'!$B$6:$B$1005,"ENTRADA",'LANÇAMENTOS'!$D$6:$D$1005,$A77))</f>
        <v/>
      </c>
      <c r="I77" s="31">
        <f>IF($A77="","",SUMIFS('LANÇAMENTOS'!$G$6:$G$1005,'LANÇAMENTOS'!$I$6:$I$1005,($A$4*12+8),'LANÇAMENTOS'!$B$6:$B$1005,"ENTRADA",'LANÇAMENTOS'!$D$6:$D$1005,$A77))</f>
        <v/>
      </c>
      <c r="J77" s="31">
        <f>IF($A77="","",SUMIFS('LANÇAMENTOS'!$G$6:$G$1005,'LANÇAMENTOS'!$I$6:$I$1005,($A$4*12+9),'LANÇAMENTOS'!$B$6:$B$1005,"ENTRADA",'LANÇAMENTOS'!$D$6:$D$1005,$A77))</f>
        <v/>
      </c>
      <c r="K77" s="31">
        <f>IF($A77="","",SUMIFS('LANÇAMENTOS'!$G$6:$G$1005,'LANÇAMENTOS'!$I$6:$I$1005,($A$4*12+10),'LANÇAMENTOS'!$B$6:$B$1005,"ENTRADA",'LANÇAMENTOS'!$D$6:$D$1005,$A77))</f>
        <v/>
      </c>
      <c r="L77" s="31">
        <f>IF($A77="","",SUMIFS('LANÇAMENTOS'!$G$6:$G$1005,'LANÇAMENTOS'!$I$6:$I$1005,($A$4*12+11),'LANÇAMENTOS'!$B$6:$B$1005,"ENTRADA",'LANÇAMENTOS'!$D$6:$D$1005,$A77))</f>
        <v/>
      </c>
      <c r="M77" s="31">
        <f>IF($A77="","",SUMIFS('LANÇAMENTOS'!$G$6:$G$1005,'LANÇAMENTOS'!$I$6:$I$1005,($A$4*12+12),'LANÇAMENTOS'!$B$6:$B$1005,"ENTRADA",'LANÇAMENTOS'!$D$6:$D$1005,$A77))</f>
        <v/>
      </c>
      <c r="N77" s="43">
        <f>IF($A77="","",SUM(B77:M77))</f>
        <v/>
      </c>
    </row>
    <row r="78">
      <c r="A78" s="18">
        <f>IF(LISTAS!$B16="ENTRADA",LISTAS!$A16,"")</f>
        <v/>
      </c>
      <c r="B78" s="31">
        <f>IF($A78="","",SUMIFS('LANÇAMENTOS'!$G$6:$G$1005,'LANÇAMENTOS'!$I$6:$I$1005,($A$4*12+1),'LANÇAMENTOS'!$B$6:$B$1005,"ENTRADA",'LANÇAMENTOS'!$D$6:$D$1005,$A78))</f>
        <v/>
      </c>
      <c r="C78" s="31">
        <f>IF($A78="","",SUMIFS('LANÇAMENTOS'!$G$6:$G$1005,'LANÇAMENTOS'!$I$6:$I$1005,($A$4*12+2),'LANÇAMENTOS'!$B$6:$B$1005,"ENTRADA",'LANÇAMENTOS'!$D$6:$D$1005,$A78))</f>
        <v/>
      </c>
      <c r="D78" s="31">
        <f>IF($A78="","",SUMIFS('LANÇAMENTOS'!$G$6:$G$1005,'LANÇAMENTOS'!$I$6:$I$1005,($A$4*12+3),'LANÇAMENTOS'!$B$6:$B$1005,"ENTRADA",'LANÇAMENTOS'!$D$6:$D$1005,$A78))</f>
        <v/>
      </c>
      <c r="E78" s="31">
        <f>IF($A78="","",SUMIFS('LANÇAMENTOS'!$G$6:$G$1005,'LANÇAMENTOS'!$I$6:$I$1005,($A$4*12+4),'LANÇAMENTOS'!$B$6:$B$1005,"ENTRADA",'LANÇAMENTOS'!$D$6:$D$1005,$A78))</f>
        <v/>
      </c>
      <c r="F78" s="31">
        <f>IF($A78="","",SUMIFS('LANÇAMENTOS'!$G$6:$G$1005,'LANÇAMENTOS'!$I$6:$I$1005,($A$4*12+5),'LANÇAMENTOS'!$B$6:$B$1005,"ENTRADA",'LANÇAMENTOS'!$D$6:$D$1005,$A78))</f>
        <v/>
      </c>
      <c r="G78" s="31">
        <f>IF($A78="","",SUMIFS('LANÇAMENTOS'!$G$6:$G$1005,'LANÇAMENTOS'!$I$6:$I$1005,($A$4*12+6),'LANÇAMENTOS'!$B$6:$B$1005,"ENTRADA",'LANÇAMENTOS'!$D$6:$D$1005,$A78))</f>
        <v/>
      </c>
      <c r="H78" s="31">
        <f>IF($A78="","",SUMIFS('LANÇAMENTOS'!$G$6:$G$1005,'LANÇAMENTOS'!$I$6:$I$1005,($A$4*12+7),'LANÇAMENTOS'!$B$6:$B$1005,"ENTRADA",'LANÇAMENTOS'!$D$6:$D$1005,$A78))</f>
        <v/>
      </c>
      <c r="I78" s="31">
        <f>IF($A78="","",SUMIFS('LANÇAMENTOS'!$G$6:$G$1005,'LANÇAMENTOS'!$I$6:$I$1005,($A$4*12+8),'LANÇAMENTOS'!$B$6:$B$1005,"ENTRADA",'LANÇAMENTOS'!$D$6:$D$1005,$A78))</f>
        <v/>
      </c>
      <c r="J78" s="31">
        <f>IF($A78="","",SUMIFS('LANÇAMENTOS'!$G$6:$G$1005,'LANÇAMENTOS'!$I$6:$I$1005,($A$4*12+9),'LANÇAMENTOS'!$B$6:$B$1005,"ENTRADA",'LANÇAMENTOS'!$D$6:$D$1005,$A78))</f>
        <v/>
      </c>
      <c r="K78" s="31">
        <f>IF($A78="","",SUMIFS('LANÇAMENTOS'!$G$6:$G$1005,'LANÇAMENTOS'!$I$6:$I$1005,($A$4*12+10),'LANÇAMENTOS'!$B$6:$B$1005,"ENTRADA",'LANÇAMENTOS'!$D$6:$D$1005,$A78))</f>
        <v/>
      </c>
      <c r="L78" s="31">
        <f>IF($A78="","",SUMIFS('LANÇAMENTOS'!$G$6:$G$1005,'LANÇAMENTOS'!$I$6:$I$1005,($A$4*12+11),'LANÇAMENTOS'!$B$6:$B$1005,"ENTRADA",'LANÇAMENTOS'!$D$6:$D$1005,$A78))</f>
        <v/>
      </c>
      <c r="M78" s="31">
        <f>IF($A78="","",SUMIFS('LANÇAMENTOS'!$G$6:$G$1005,'LANÇAMENTOS'!$I$6:$I$1005,($A$4*12+12),'LANÇAMENTOS'!$B$6:$B$1005,"ENTRADA",'LANÇAMENTOS'!$D$6:$D$1005,$A78))</f>
        <v/>
      </c>
      <c r="N78" s="43">
        <f>IF($A78="","",SUM(B78:M78))</f>
        <v/>
      </c>
    </row>
    <row r="79">
      <c r="A79" s="18">
        <f>IF(LISTAS!$B17="ENTRADA",LISTAS!$A17,"")</f>
        <v/>
      </c>
      <c r="B79" s="31">
        <f>IF($A79="","",SUMIFS('LANÇAMENTOS'!$G$6:$G$1005,'LANÇAMENTOS'!$I$6:$I$1005,($A$4*12+1),'LANÇAMENTOS'!$B$6:$B$1005,"ENTRADA",'LANÇAMENTOS'!$D$6:$D$1005,$A79))</f>
        <v/>
      </c>
      <c r="C79" s="31">
        <f>IF($A79="","",SUMIFS('LANÇAMENTOS'!$G$6:$G$1005,'LANÇAMENTOS'!$I$6:$I$1005,($A$4*12+2),'LANÇAMENTOS'!$B$6:$B$1005,"ENTRADA",'LANÇAMENTOS'!$D$6:$D$1005,$A79))</f>
        <v/>
      </c>
      <c r="D79" s="31">
        <f>IF($A79="","",SUMIFS('LANÇAMENTOS'!$G$6:$G$1005,'LANÇAMENTOS'!$I$6:$I$1005,($A$4*12+3),'LANÇAMENTOS'!$B$6:$B$1005,"ENTRADA",'LANÇAMENTOS'!$D$6:$D$1005,$A79))</f>
        <v/>
      </c>
      <c r="E79" s="31">
        <f>IF($A79="","",SUMIFS('LANÇAMENTOS'!$G$6:$G$1005,'LANÇAMENTOS'!$I$6:$I$1005,($A$4*12+4),'LANÇAMENTOS'!$B$6:$B$1005,"ENTRADA",'LANÇAMENTOS'!$D$6:$D$1005,$A79))</f>
        <v/>
      </c>
      <c r="F79" s="31">
        <f>IF($A79="","",SUMIFS('LANÇAMENTOS'!$G$6:$G$1005,'LANÇAMENTOS'!$I$6:$I$1005,($A$4*12+5),'LANÇAMENTOS'!$B$6:$B$1005,"ENTRADA",'LANÇAMENTOS'!$D$6:$D$1005,$A79))</f>
        <v/>
      </c>
      <c r="G79" s="31">
        <f>IF($A79="","",SUMIFS('LANÇAMENTOS'!$G$6:$G$1005,'LANÇAMENTOS'!$I$6:$I$1005,($A$4*12+6),'LANÇAMENTOS'!$B$6:$B$1005,"ENTRADA",'LANÇAMENTOS'!$D$6:$D$1005,$A79))</f>
        <v/>
      </c>
      <c r="H79" s="31">
        <f>IF($A79="","",SUMIFS('LANÇAMENTOS'!$G$6:$G$1005,'LANÇAMENTOS'!$I$6:$I$1005,($A$4*12+7),'LANÇAMENTOS'!$B$6:$B$1005,"ENTRADA",'LANÇAMENTOS'!$D$6:$D$1005,$A79))</f>
        <v/>
      </c>
      <c r="I79" s="31">
        <f>IF($A79="","",SUMIFS('LANÇAMENTOS'!$G$6:$G$1005,'LANÇAMENTOS'!$I$6:$I$1005,($A$4*12+8),'LANÇAMENTOS'!$B$6:$B$1005,"ENTRADA",'LANÇAMENTOS'!$D$6:$D$1005,$A79))</f>
        <v/>
      </c>
      <c r="J79" s="31">
        <f>IF($A79="","",SUMIFS('LANÇAMENTOS'!$G$6:$G$1005,'LANÇAMENTOS'!$I$6:$I$1005,($A$4*12+9),'LANÇAMENTOS'!$B$6:$B$1005,"ENTRADA",'LANÇAMENTOS'!$D$6:$D$1005,$A79))</f>
        <v/>
      </c>
      <c r="K79" s="31">
        <f>IF($A79="","",SUMIFS('LANÇAMENTOS'!$G$6:$G$1005,'LANÇAMENTOS'!$I$6:$I$1005,($A$4*12+10),'LANÇAMENTOS'!$B$6:$B$1005,"ENTRADA",'LANÇAMENTOS'!$D$6:$D$1005,$A79))</f>
        <v/>
      </c>
      <c r="L79" s="31">
        <f>IF($A79="","",SUMIFS('LANÇAMENTOS'!$G$6:$G$1005,'LANÇAMENTOS'!$I$6:$I$1005,($A$4*12+11),'LANÇAMENTOS'!$B$6:$B$1005,"ENTRADA",'LANÇAMENTOS'!$D$6:$D$1005,$A79))</f>
        <v/>
      </c>
      <c r="M79" s="31">
        <f>IF($A79="","",SUMIFS('LANÇAMENTOS'!$G$6:$G$1005,'LANÇAMENTOS'!$I$6:$I$1005,($A$4*12+12),'LANÇAMENTOS'!$B$6:$B$1005,"ENTRADA",'LANÇAMENTOS'!$D$6:$D$1005,$A79))</f>
        <v/>
      </c>
      <c r="N79" s="43">
        <f>IF($A79="","",SUM(B79:M79))</f>
        <v/>
      </c>
    </row>
    <row r="80">
      <c r="A80" s="18">
        <f>IF(LISTAS!$B18="ENTRADA",LISTAS!$A18,"")</f>
        <v/>
      </c>
      <c r="B80" s="31">
        <f>IF($A80="","",SUMIFS('LANÇAMENTOS'!$G$6:$G$1005,'LANÇAMENTOS'!$I$6:$I$1005,($A$4*12+1),'LANÇAMENTOS'!$B$6:$B$1005,"ENTRADA",'LANÇAMENTOS'!$D$6:$D$1005,$A80))</f>
        <v/>
      </c>
      <c r="C80" s="31">
        <f>IF($A80="","",SUMIFS('LANÇAMENTOS'!$G$6:$G$1005,'LANÇAMENTOS'!$I$6:$I$1005,($A$4*12+2),'LANÇAMENTOS'!$B$6:$B$1005,"ENTRADA",'LANÇAMENTOS'!$D$6:$D$1005,$A80))</f>
        <v/>
      </c>
      <c r="D80" s="31">
        <f>IF($A80="","",SUMIFS('LANÇAMENTOS'!$G$6:$G$1005,'LANÇAMENTOS'!$I$6:$I$1005,($A$4*12+3),'LANÇAMENTOS'!$B$6:$B$1005,"ENTRADA",'LANÇAMENTOS'!$D$6:$D$1005,$A80))</f>
        <v/>
      </c>
      <c r="E80" s="31">
        <f>IF($A80="","",SUMIFS('LANÇAMENTOS'!$G$6:$G$1005,'LANÇAMENTOS'!$I$6:$I$1005,($A$4*12+4),'LANÇAMENTOS'!$B$6:$B$1005,"ENTRADA",'LANÇAMENTOS'!$D$6:$D$1005,$A80))</f>
        <v/>
      </c>
      <c r="F80" s="31">
        <f>IF($A80="","",SUMIFS('LANÇAMENTOS'!$G$6:$G$1005,'LANÇAMENTOS'!$I$6:$I$1005,($A$4*12+5),'LANÇAMENTOS'!$B$6:$B$1005,"ENTRADA",'LANÇAMENTOS'!$D$6:$D$1005,$A80))</f>
        <v/>
      </c>
      <c r="G80" s="31">
        <f>IF($A80="","",SUMIFS('LANÇAMENTOS'!$G$6:$G$1005,'LANÇAMENTOS'!$I$6:$I$1005,($A$4*12+6),'LANÇAMENTOS'!$B$6:$B$1005,"ENTRADA",'LANÇAMENTOS'!$D$6:$D$1005,$A80))</f>
        <v/>
      </c>
      <c r="H80" s="31">
        <f>IF($A80="","",SUMIFS('LANÇAMENTOS'!$G$6:$G$1005,'LANÇAMENTOS'!$I$6:$I$1005,($A$4*12+7),'LANÇAMENTOS'!$B$6:$B$1005,"ENTRADA",'LANÇAMENTOS'!$D$6:$D$1005,$A80))</f>
        <v/>
      </c>
      <c r="I80" s="31">
        <f>IF($A80="","",SUMIFS('LANÇAMENTOS'!$G$6:$G$1005,'LANÇAMENTOS'!$I$6:$I$1005,($A$4*12+8),'LANÇAMENTOS'!$B$6:$B$1005,"ENTRADA",'LANÇAMENTOS'!$D$6:$D$1005,$A80))</f>
        <v/>
      </c>
      <c r="J80" s="31">
        <f>IF($A80="","",SUMIFS('LANÇAMENTOS'!$G$6:$G$1005,'LANÇAMENTOS'!$I$6:$I$1005,($A$4*12+9),'LANÇAMENTOS'!$B$6:$B$1005,"ENTRADA",'LANÇAMENTOS'!$D$6:$D$1005,$A80))</f>
        <v/>
      </c>
      <c r="K80" s="31">
        <f>IF($A80="","",SUMIFS('LANÇAMENTOS'!$G$6:$G$1005,'LANÇAMENTOS'!$I$6:$I$1005,($A$4*12+10),'LANÇAMENTOS'!$B$6:$B$1005,"ENTRADA",'LANÇAMENTOS'!$D$6:$D$1005,$A80))</f>
        <v/>
      </c>
      <c r="L80" s="31">
        <f>IF($A80="","",SUMIFS('LANÇAMENTOS'!$G$6:$G$1005,'LANÇAMENTOS'!$I$6:$I$1005,($A$4*12+11),'LANÇAMENTOS'!$B$6:$B$1005,"ENTRADA",'LANÇAMENTOS'!$D$6:$D$1005,$A80))</f>
        <v/>
      </c>
      <c r="M80" s="31">
        <f>IF($A80="","",SUMIFS('LANÇAMENTOS'!$G$6:$G$1005,'LANÇAMENTOS'!$I$6:$I$1005,($A$4*12+12),'LANÇAMENTOS'!$B$6:$B$1005,"ENTRADA",'LANÇAMENTOS'!$D$6:$D$1005,$A80))</f>
        <v/>
      </c>
      <c r="N80" s="43">
        <f>IF($A80="","",SUM(B80:M80))</f>
        <v/>
      </c>
    </row>
    <row r="81">
      <c r="A81" s="18">
        <f>IF(LISTAS!$B19="ENTRADA",LISTAS!$A19,"")</f>
        <v/>
      </c>
      <c r="B81" s="31">
        <f>IF($A81="","",SUMIFS('LANÇAMENTOS'!$G$6:$G$1005,'LANÇAMENTOS'!$I$6:$I$1005,($A$4*12+1),'LANÇAMENTOS'!$B$6:$B$1005,"ENTRADA",'LANÇAMENTOS'!$D$6:$D$1005,$A81))</f>
        <v/>
      </c>
      <c r="C81" s="31">
        <f>IF($A81="","",SUMIFS('LANÇAMENTOS'!$G$6:$G$1005,'LANÇAMENTOS'!$I$6:$I$1005,($A$4*12+2),'LANÇAMENTOS'!$B$6:$B$1005,"ENTRADA",'LANÇAMENTOS'!$D$6:$D$1005,$A81))</f>
        <v/>
      </c>
      <c r="D81" s="31">
        <f>IF($A81="","",SUMIFS('LANÇAMENTOS'!$G$6:$G$1005,'LANÇAMENTOS'!$I$6:$I$1005,($A$4*12+3),'LANÇAMENTOS'!$B$6:$B$1005,"ENTRADA",'LANÇAMENTOS'!$D$6:$D$1005,$A81))</f>
        <v/>
      </c>
      <c r="E81" s="31">
        <f>IF($A81="","",SUMIFS('LANÇAMENTOS'!$G$6:$G$1005,'LANÇAMENTOS'!$I$6:$I$1005,($A$4*12+4),'LANÇAMENTOS'!$B$6:$B$1005,"ENTRADA",'LANÇAMENTOS'!$D$6:$D$1005,$A81))</f>
        <v/>
      </c>
      <c r="F81" s="31">
        <f>IF($A81="","",SUMIFS('LANÇAMENTOS'!$G$6:$G$1005,'LANÇAMENTOS'!$I$6:$I$1005,($A$4*12+5),'LANÇAMENTOS'!$B$6:$B$1005,"ENTRADA",'LANÇAMENTOS'!$D$6:$D$1005,$A81))</f>
        <v/>
      </c>
      <c r="G81" s="31">
        <f>IF($A81="","",SUMIFS('LANÇAMENTOS'!$G$6:$G$1005,'LANÇAMENTOS'!$I$6:$I$1005,($A$4*12+6),'LANÇAMENTOS'!$B$6:$B$1005,"ENTRADA",'LANÇAMENTOS'!$D$6:$D$1005,$A81))</f>
        <v/>
      </c>
      <c r="H81" s="31">
        <f>IF($A81="","",SUMIFS('LANÇAMENTOS'!$G$6:$G$1005,'LANÇAMENTOS'!$I$6:$I$1005,($A$4*12+7),'LANÇAMENTOS'!$B$6:$B$1005,"ENTRADA",'LANÇAMENTOS'!$D$6:$D$1005,$A81))</f>
        <v/>
      </c>
      <c r="I81" s="31">
        <f>IF($A81="","",SUMIFS('LANÇAMENTOS'!$G$6:$G$1005,'LANÇAMENTOS'!$I$6:$I$1005,($A$4*12+8),'LANÇAMENTOS'!$B$6:$B$1005,"ENTRADA",'LANÇAMENTOS'!$D$6:$D$1005,$A81))</f>
        <v/>
      </c>
      <c r="J81" s="31">
        <f>IF($A81="","",SUMIFS('LANÇAMENTOS'!$G$6:$G$1005,'LANÇAMENTOS'!$I$6:$I$1005,($A$4*12+9),'LANÇAMENTOS'!$B$6:$B$1005,"ENTRADA",'LANÇAMENTOS'!$D$6:$D$1005,$A81))</f>
        <v/>
      </c>
      <c r="K81" s="31">
        <f>IF($A81="","",SUMIFS('LANÇAMENTOS'!$G$6:$G$1005,'LANÇAMENTOS'!$I$6:$I$1005,($A$4*12+10),'LANÇAMENTOS'!$B$6:$B$1005,"ENTRADA",'LANÇAMENTOS'!$D$6:$D$1005,$A81))</f>
        <v/>
      </c>
      <c r="L81" s="31">
        <f>IF($A81="","",SUMIFS('LANÇAMENTOS'!$G$6:$G$1005,'LANÇAMENTOS'!$I$6:$I$1005,($A$4*12+11),'LANÇAMENTOS'!$B$6:$B$1005,"ENTRADA",'LANÇAMENTOS'!$D$6:$D$1005,$A81))</f>
        <v/>
      </c>
      <c r="M81" s="31">
        <f>IF($A81="","",SUMIFS('LANÇAMENTOS'!$G$6:$G$1005,'LANÇAMENTOS'!$I$6:$I$1005,($A$4*12+12),'LANÇAMENTOS'!$B$6:$B$1005,"ENTRADA",'LANÇAMENTOS'!$D$6:$D$1005,$A81))</f>
        <v/>
      </c>
      <c r="N81" s="43">
        <f>IF($A81="","",SUM(B81:M81))</f>
        <v/>
      </c>
    </row>
    <row r="82">
      <c r="A82" s="18">
        <f>IF(LISTAS!$B20="ENTRADA",LISTAS!$A20,"")</f>
        <v/>
      </c>
      <c r="B82" s="31">
        <f>IF($A82="","",SUMIFS('LANÇAMENTOS'!$G$6:$G$1005,'LANÇAMENTOS'!$I$6:$I$1005,($A$4*12+1),'LANÇAMENTOS'!$B$6:$B$1005,"ENTRADA",'LANÇAMENTOS'!$D$6:$D$1005,$A82))</f>
        <v/>
      </c>
      <c r="C82" s="31">
        <f>IF($A82="","",SUMIFS('LANÇAMENTOS'!$G$6:$G$1005,'LANÇAMENTOS'!$I$6:$I$1005,($A$4*12+2),'LANÇAMENTOS'!$B$6:$B$1005,"ENTRADA",'LANÇAMENTOS'!$D$6:$D$1005,$A82))</f>
        <v/>
      </c>
      <c r="D82" s="31">
        <f>IF($A82="","",SUMIFS('LANÇAMENTOS'!$G$6:$G$1005,'LANÇAMENTOS'!$I$6:$I$1005,($A$4*12+3),'LANÇAMENTOS'!$B$6:$B$1005,"ENTRADA",'LANÇAMENTOS'!$D$6:$D$1005,$A82))</f>
        <v/>
      </c>
      <c r="E82" s="31">
        <f>IF($A82="","",SUMIFS('LANÇAMENTOS'!$G$6:$G$1005,'LANÇAMENTOS'!$I$6:$I$1005,($A$4*12+4),'LANÇAMENTOS'!$B$6:$B$1005,"ENTRADA",'LANÇAMENTOS'!$D$6:$D$1005,$A82))</f>
        <v/>
      </c>
      <c r="F82" s="31">
        <f>IF($A82="","",SUMIFS('LANÇAMENTOS'!$G$6:$G$1005,'LANÇAMENTOS'!$I$6:$I$1005,($A$4*12+5),'LANÇAMENTOS'!$B$6:$B$1005,"ENTRADA",'LANÇAMENTOS'!$D$6:$D$1005,$A82))</f>
        <v/>
      </c>
      <c r="G82" s="31">
        <f>IF($A82="","",SUMIFS('LANÇAMENTOS'!$G$6:$G$1005,'LANÇAMENTOS'!$I$6:$I$1005,($A$4*12+6),'LANÇAMENTOS'!$B$6:$B$1005,"ENTRADA",'LANÇAMENTOS'!$D$6:$D$1005,$A82))</f>
        <v/>
      </c>
      <c r="H82" s="31">
        <f>IF($A82="","",SUMIFS('LANÇAMENTOS'!$G$6:$G$1005,'LANÇAMENTOS'!$I$6:$I$1005,($A$4*12+7),'LANÇAMENTOS'!$B$6:$B$1005,"ENTRADA",'LANÇAMENTOS'!$D$6:$D$1005,$A82))</f>
        <v/>
      </c>
      <c r="I82" s="31">
        <f>IF($A82="","",SUMIFS('LANÇAMENTOS'!$G$6:$G$1005,'LANÇAMENTOS'!$I$6:$I$1005,($A$4*12+8),'LANÇAMENTOS'!$B$6:$B$1005,"ENTRADA",'LANÇAMENTOS'!$D$6:$D$1005,$A82))</f>
        <v/>
      </c>
      <c r="J82" s="31">
        <f>IF($A82="","",SUMIFS('LANÇAMENTOS'!$G$6:$G$1005,'LANÇAMENTOS'!$I$6:$I$1005,($A$4*12+9),'LANÇAMENTOS'!$B$6:$B$1005,"ENTRADA",'LANÇAMENTOS'!$D$6:$D$1005,$A82))</f>
        <v/>
      </c>
      <c r="K82" s="31">
        <f>IF($A82="","",SUMIFS('LANÇAMENTOS'!$G$6:$G$1005,'LANÇAMENTOS'!$I$6:$I$1005,($A$4*12+10),'LANÇAMENTOS'!$B$6:$B$1005,"ENTRADA",'LANÇAMENTOS'!$D$6:$D$1005,$A82))</f>
        <v/>
      </c>
      <c r="L82" s="31">
        <f>IF($A82="","",SUMIFS('LANÇAMENTOS'!$G$6:$G$1005,'LANÇAMENTOS'!$I$6:$I$1005,($A$4*12+11),'LANÇAMENTOS'!$B$6:$B$1005,"ENTRADA",'LANÇAMENTOS'!$D$6:$D$1005,$A82))</f>
        <v/>
      </c>
      <c r="M82" s="31">
        <f>IF($A82="","",SUMIFS('LANÇAMENTOS'!$G$6:$G$1005,'LANÇAMENTOS'!$I$6:$I$1005,($A$4*12+12),'LANÇAMENTOS'!$B$6:$B$1005,"ENTRADA",'LANÇAMENTOS'!$D$6:$D$1005,$A82))</f>
        <v/>
      </c>
      <c r="N82" s="43">
        <f>IF($A82="","",SUM(B82:M82))</f>
        <v/>
      </c>
    </row>
    <row r="83">
      <c r="A83" s="18">
        <f>IF(LISTAS!$B21="ENTRADA",LISTAS!$A21,"")</f>
        <v/>
      </c>
      <c r="B83" s="31">
        <f>IF($A83="","",SUMIFS('LANÇAMENTOS'!$G$6:$G$1005,'LANÇAMENTOS'!$I$6:$I$1005,($A$4*12+1),'LANÇAMENTOS'!$B$6:$B$1005,"ENTRADA",'LANÇAMENTOS'!$D$6:$D$1005,$A83))</f>
        <v/>
      </c>
      <c r="C83" s="31">
        <f>IF($A83="","",SUMIFS('LANÇAMENTOS'!$G$6:$G$1005,'LANÇAMENTOS'!$I$6:$I$1005,($A$4*12+2),'LANÇAMENTOS'!$B$6:$B$1005,"ENTRADA",'LANÇAMENTOS'!$D$6:$D$1005,$A83))</f>
        <v/>
      </c>
      <c r="D83" s="31">
        <f>IF($A83="","",SUMIFS('LANÇAMENTOS'!$G$6:$G$1005,'LANÇAMENTOS'!$I$6:$I$1005,($A$4*12+3),'LANÇAMENTOS'!$B$6:$B$1005,"ENTRADA",'LANÇAMENTOS'!$D$6:$D$1005,$A83))</f>
        <v/>
      </c>
      <c r="E83" s="31">
        <f>IF($A83="","",SUMIFS('LANÇAMENTOS'!$G$6:$G$1005,'LANÇAMENTOS'!$I$6:$I$1005,($A$4*12+4),'LANÇAMENTOS'!$B$6:$B$1005,"ENTRADA",'LANÇAMENTOS'!$D$6:$D$1005,$A83))</f>
        <v/>
      </c>
      <c r="F83" s="31">
        <f>IF($A83="","",SUMIFS('LANÇAMENTOS'!$G$6:$G$1005,'LANÇAMENTOS'!$I$6:$I$1005,($A$4*12+5),'LANÇAMENTOS'!$B$6:$B$1005,"ENTRADA",'LANÇAMENTOS'!$D$6:$D$1005,$A83))</f>
        <v/>
      </c>
      <c r="G83" s="31">
        <f>IF($A83="","",SUMIFS('LANÇAMENTOS'!$G$6:$G$1005,'LANÇAMENTOS'!$I$6:$I$1005,($A$4*12+6),'LANÇAMENTOS'!$B$6:$B$1005,"ENTRADA",'LANÇAMENTOS'!$D$6:$D$1005,$A83))</f>
        <v/>
      </c>
      <c r="H83" s="31">
        <f>IF($A83="","",SUMIFS('LANÇAMENTOS'!$G$6:$G$1005,'LANÇAMENTOS'!$I$6:$I$1005,($A$4*12+7),'LANÇAMENTOS'!$B$6:$B$1005,"ENTRADA",'LANÇAMENTOS'!$D$6:$D$1005,$A83))</f>
        <v/>
      </c>
      <c r="I83" s="31">
        <f>IF($A83="","",SUMIFS('LANÇAMENTOS'!$G$6:$G$1005,'LANÇAMENTOS'!$I$6:$I$1005,($A$4*12+8),'LANÇAMENTOS'!$B$6:$B$1005,"ENTRADA",'LANÇAMENTOS'!$D$6:$D$1005,$A83))</f>
        <v/>
      </c>
      <c r="J83" s="31">
        <f>IF($A83="","",SUMIFS('LANÇAMENTOS'!$G$6:$G$1005,'LANÇAMENTOS'!$I$6:$I$1005,($A$4*12+9),'LANÇAMENTOS'!$B$6:$B$1005,"ENTRADA",'LANÇAMENTOS'!$D$6:$D$1005,$A83))</f>
        <v/>
      </c>
      <c r="K83" s="31">
        <f>IF($A83="","",SUMIFS('LANÇAMENTOS'!$G$6:$G$1005,'LANÇAMENTOS'!$I$6:$I$1005,($A$4*12+10),'LANÇAMENTOS'!$B$6:$B$1005,"ENTRADA",'LANÇAMENTOS'!$D$6:$D$1005,$A83))</f>
        <v/>
      </c>
      <c r="L83" s="31">
        <f>IF($A83="","",SUMIFS('LANÇAMENTOS'!$G$6:$G$1005,'LANÇAMENTOS'!$I$6:$I$1005,($A$4*12+11),'LANÇAMENTOS'!$B$6:$B$1005,"ENTRADA",'LANÇAMENTOS'!$D$6:$D$1005,$A83))</f>
        <v/>
      </c>
      <c r="M83" s="31">
        <f>IF($A83="","",SUMIFS('LANÇAMENTOS'!$G$6:$G$1005,'LANÇAMENTOS'!$I$6:$I$1005,($A$4*12+12),'LANÇAMENTOS'!$B$6:$B$1005,"ENTRADA",'LANÇAMENTOS'!$D$6:$D$1005,$A83))</f>
        <v/>
      </c>
      <c r="N83" s="43">
        <f>IF($A83="","",SUM(B83:M83))</f>
        <v/>
      </c>
    </row>
    <row r="84">
      <c r="A84" s="18">
        <f>IF(LISTAS!$B22="ENTRADA",LISTAS!$A22,"")</f>
        <v/>
      </c>
      <c r="B84" s="31">
        <f>IF($A84="","",SUMIFS('LANÇAMENTOS'!$G$6:$G$1005,'LANÇAMENTOS'!$I$6:$I$1005,($A$4*12+1),'LANÇAMENTOS'!$B$6:$B$1005,"ENTRADA",'LANÇAMENTOS'!$D$6:$D$1005,$A84))</f>
        <v/>
      </c>
      <c r="C84" s="31">
        <f>IF($A84="","",SUMIFS('LANÇAMENTOS'!$G$6:$G$1005,'LANÇAMENTOS'!$I$6:$I$1005,($A$4*12+2),'LANÇAMENTOS'!$B$6:$B$1005,"ENTRADA",'LANÇAMENTOS'!$D$6:$D$1005,$A84))</f>
        <v/>
      </c>
      <c r="D84" s="31">
        <f>IF($A84="","",SUMIFS('LANÇAMENTOS'!$G$6:$G$1005,'LANÇAMENTOS'!$I$6:$I$1005,($A$4*12+3),'LANÇAMENTOS'!$B$6:$B$1005,"ENTRADA",'LANÇAMENTOS'!$D$6:$D$1005,$A84))</f>
        <v/>
      </c>
      <c r="E84" s="31">
        <f>IF($A84="","",SUMIFS('LANÇAMENTOS'!$G$6:$G$1005,'LANÇAMENTOS'!$I$6:$I$1005,($A$4*12+4),'LANÇAMENTOS'!$B$6:$B$1005,"ENTRADA",'LANÇAMENTOS'!$D$6:$D$1005,$A84))</f>
        <v/>
      </c>
      <c r="F84" s="31">
        <f>IF($A84="","",SUMIFS('LANÇAMENTOS'!$G$6:$G$1005,'LANÇAMENTOS'!$I$6:$I$1005,($A$4*12+5),'LANÇAMENTOS'!$B$6:$B$1005,"ENTRADA",'LANÇAMENTOS'!$D$6:$D$1005,$A84))</f>
        <v/>
      </c>
      <c r="G84" s="31">
        <f>IF($A84="","",SUMIFS('LANÇAMENTOS'!$G$6:$G$1005,'LANÇAMENTOS'!$I$6:$I$1005,($A$4*12+6),'LANÇAMENTOS'!$B$6:$B$1005,"ENTRADA",'LANÇAMENTOS'!$D$6:$D$1005,$A84))</f>
        <v/>
      </c>
      <c r="H84" s="31">
        <f>IF($A84="","",SUMIFS('LANÇAMENTOS'!$G$6:$G$1005,'LANÇAMENTOS'!$I$6:$I$1005,($A$4*12+7),'LANÇAMENTOS'!$B$6:$B$1005,"ENTRADA",'LANÇAMENTOS'!$D$6:$D$1005,$A84))</f>
        <v/>
      </c>
      <c r="I84" s="31">
        <f>IF($A84="","",SUMIFS('LANÇAMENTOS'!$G$6:$G$1005,'LANÇAMENTOS'!$I$6:$I$1005,($A$4*12+8),'LANÇAMENTOS'!$B$6:$B$1005,"ENTRADA",'LANÇAMENTOS'!$D$6:$D$1005,$A84))</f>
        <v/>
      </c>
      <c r="J84" s="31">
        <f>IF($A84="","",SUMIFS('LANÇAMENTOS'!$G$6:$G$1005,'LANÇAMENTOS'!$I$6:$I$1005,($A$4*12+9),'LANÇAMENTOS'!$B$6:$B$1005,"ENTRADA",'LANÇAMENTOS'!$D$6:$D$1005,$A84))</f>
        <v/>
      </c>
      <c r="K84" s="31">
        <f>IF($A84="","",SUMIFS('LANÇAMENTOS'!$G$6:$G$1005,'LANÇAMENTOS'!$I$6:$I$1005,($A$4*12+10),'LANÇAMENTOS'!$B$6:$B$1005,"ENTRADA",'LANÇAMENTOS'!$D$6:$D$1005,$A84))</f>
        <v/>
      </c>
      <c r="L84" s="31">
        <f>IF($A84="","",SUMIFS('LANÇAMENTOS'!$G$6:$G$1005,'LANÇAMENTOS'!$I$6:$I$1005,($A$4*12+11),'LANÇAMENTOS'!$B$6:$B$1005,"ENTRADA",'LANÇAMENTOS'!$D$6:$D$1005,$A84))</f>
        <v/>
      </c>
      <c r="M84" s="31">
        <f>IF($A84="","",SUMIFS('LANÇAMENTOS'!$G$6:$G$1005,'LANÇAMENTOS'!$I$6:$I$1005,($A$4*12+12),'LANÇAMENTOS'!$B$6:$B$1005,"ENTRADA",'LANÇAMENTOS'!$D$6:$D$1005,$A84))</f>
        <v/>
      </c>
      <c r="N84" s="43">
        <f>IF($A84="","",SUM(B84:M84))</f>
        <v/>
      </c>
    </row>
    <row r="85">
      <c r="A85" s="18">
        <f>IF(LISTAS!$B23="ENTRADA",LISTAS!$A23,"")</f>
        <v/>
      </c>
      <c r="B85" s="31">
        <f>IF($A85="","",SUMIFS('LANÇAMENTOS'!$G$6:$G$1005,'LANÇAMENTOS'!$I$6:$I$1005,($A$4*12+1),'LANÇAMENTOS'!$B$6:$B$1005,"ENTRADA",'LANÇAMENTOS'!$D$6:$D$1005,$A85))</f>
        <v/>
      </c>
      <c r="C85" s="31">
        <f>IF($A85="","",SUMIFS('LANÇAMENTOS'!$G$6:$G$1005,'LANÇAMENTOS'!$I$6:$I$1005,($A$4*12+2),'LANÇAMENTOS'!$B$6:$B$1005,"ENTRADA",'LANÇAMENTOS'!$D$6:$D$1005,$A85))</f>
        <v/>
      </c>
      <c r="D85" s="31">
        <f>IF($A85="","",SUMIFS('LANÇAMENTOS'!$G$6:$G$1005,'LANÇAMENTOS'!$I$6:$I$1005,($A$4*12+3),'LANÇAMENTOS'!$B$6:$B$1005,"ENTRADA",'LANÇAMENTOS'!$D$6:$D$1005,$A85))</f>
        <v/>
      </c>
      <c r="E85" s="31">
        <f>IF($A85="","",SUMIFS('LANÇAMENTOS'!$G$6:$G$1005,'LANÇAMENTOS'!$I$6:$I$1005,($A$4*12+4),'LANÇAMENTOS'!$B$6:$B$1005,"ENTRADA",'LANÇAMENTOS'!$D$6:$D$1005,$A85))</f>
        <v/>
      </c>
      <c r="F85" s="31">
        <f>IF($A85="","",SUMIFS('LANÇAMENTOS'!$G$6:$G$1005,'LANÇAMENTOS'!$I$6:$I$1005,($A$4*12+5),'LANÇAMENTOS'!$B$6:$B$1005,"ENTRADA",'LANÇAMENTOS'!$D$6:$D$1005,$A85))</f>
        <v/>
      </c>
      <c r="G85" s="31">
        <f>IF($A85="","",SUMIFS('LANÇAMENTOS'!$G$6:$G$1005,'LANÇAMENTOS'!$I$6:$I$1005,($A$4*12+6),'LANÇAMENTOS'!$B$6:$B$1005,"ENTRADA",'LANÇAMENTOS'!$D$6:$D$1005,$A85))</f>
        <v/>
      </c>
      <c r="H85" s="31">
        <f>IF($A85="","",SUMIFS('LANÇAMENTOS'!$G$6:$G$1005,'LANÇAMENTOS'!$I$6:$I$1005,($A$4*12+7),'LANÇAMENTOS'!$B$6:$B$1005,"ENTRADA",'LANÇAMENTOS'!$D$6:$D$1005,$A85))</f>
        <v/>
      </c>
      <c r="I85" s="31">
        <f>IF($A85="","",SUMIFS('LANÇAMENTOS'!$G$6:$G$1005,'LANÇAMENTOS'!$I$6:$I$1005,($A$4*12+8),'LANÇAMENTOS'!$B$6:$B$1005,"ENTRADA",'LANÇAMENTOS'!$D$6:$D$1005,$A85))</f>
        <v/>
      </c>
      <c r="J85" s="31">
        <f>IF($A85="","",SUMIFS('LANÇAMENTOS'!$G$6:$G$1005,'LANÇAMENTOS'!$I$6:$I$1005,($A$4*12+9),'LANÇAMENTOS'!$B$6:$B$1005,"ENTRADA",'LANÇAMENTOS'!$D$6:$D$1005,$A85))</f>
        <v/>
      </c>
      <c r="K85" s="31">
        <f>IF($A85="","",SUMIFS('LANÇAMENTOS'!$G$6:$G$1005,'LANÇAMENTOS'!$I$6:$I$1005,($A$4*12+10),'LANÇAMENTOS'!$B$6:$B$1005,"ENTRADA",'LANÇAMENTOS'!$D$6:$D$1005,$A85))</f>
        <v/>
      </c>
      <c r="L85" s="31">
        <f>IF($A85="","",SUMIFS('LANÇAMENTOS'!$G$6:$G$1005,'LANÇAMENTOS'!$I$6:$I$1005,($A$4*12+11),'LANÇAMENTOS'!$B$6:$B$1005,"ENTRADA",'LANÇAMENTOS'!$D$6:$D$1005,$A85))</f>
        <v/>
      </c>
      <c r="M85" s="31">
        <f>IF($A85="","",SUMIFS('LANÇAMENTOS'!$G$6:$G$1005,'LANÇAMENTOS'!$I$6:$I$1005,($A$4*12+12),'LANÇAMENTOS'!$B$6:$B$1005,"ENTRADA",'LANÇAMENTOS'!$D$6:$D$1005,$A85))</f>
        <v/>
      </c>
      <c r="N85" s="43">
        <f>IF($A85="","",SUM(B85:M85))</f>
        <v/>
      </c>
    </row>
    <row r="86">
      <c r="A86" s="18">
        <f>IF(LISTAS!$B24="ENTRADA",LISTAS!$A24,"")</f>
        <v/>
      </c>
      <c r="B86" s="31">
        <f>IF($A86="","",SUMIFS('LANÇAMENTOS'!$G$6:$G$1005,'LANÇAMENTOS'!$I$6:$I$1005,($A$4*12+1),'LANÇAMENTOS'!$B$6:$B$1005,"ENTRADA",'LANÇAMENTOS'!$D$6:$D$1005,$A86))</f>
        <v/>
      </c>
      <c r="C86" s="31">
        <f>IF($A86="","",SUMIFS('LANÇAMENTOS'!$G$6:$G$1005,'LANÇAMENTOS'!$I$6:$I$1005,($A$4*12+2),'LANÇAMENTOS'!$B$6:$B$1005,"ENTRADA",'LANÇAMENTOS'!$D$6:$D$1005,$A86))</f>
        <v/>
      </c>
      <c r="D86" s="31">
        <f>IF($A86="","",SUMIFS('LANÇAMENTOS'!$G$6:$G$1005,'LANÇAMENTOS'!$I$6:$I$1005,($A$4*12+3),'LANÇAMENTOS'!$B$6:$B$1005,"ENTRADA",'LANÇAMENTOS'!$D$6:$D$1005,$A86))</f>
        <v/>
      </c>
      <c r="E86" s="31">
        <f>IF($A86="","",SUMIFS('LANÇAMENTOS'!$G$6:$G$1005,'LANÇAMENTOS'!$I$6:$I$1005,($A$4*12+4),'LANÇAMENTOS'!$B$6:$B$1005,"ENTRADA",'LANÇAMENTOS'!$D$6:$D$1005,$A86))</f>
        <v/>
      </c>
      <c r="F86" s="31">
        <f>IF($A86="","",SUMIFS('LANÇAMENTOS'!$G$6:$G$1005,'LANÇAMENTOS'!$I$6:$I$1005,($A$4*12+5),'LANÇAMENTOS'!$B$6:$B$1005,"ENTRADA",'LANÇAMENTOS'!$D$6:$D$1005,$A86))</f>
        <v/>
      </c>
      <c r="G86" s="31">
        <f>IF($A86="","",SUMIFS('LANÇAMENTOS'!$G$6:$G$1005,'LANÇAMENTOS'!$I$6:$I$1005,($A$4*12+6),'LANÇAMENTOS'!$B$6:$B$1005,"ENTRADA",'LANÇAMENTOS'!$D$6:$D$1005,$A86))</f>
        <v/>
      </c>
      <c r="H86" s="31">
        <f>IF($A86="","",SUMIFS('LANÇAMENTOS'!$G$6:$G$1005,'LANÇAMENTOS'!$I$6:$I$1005,($A$4*12+7),'LANÇAMENTOS'!$B$6:$B$1005,"ENTRADA",'LANÇAMENTOS'!$D$6:$D$1005,$A86))</f>
        <v/>
      </c>
      <c r="I86" s="31">
        <f>IF($A86="","",SUMIFS('LANÇAMENTOS'!$G$6:$G$1005,'LANÇAMENTOS'!$I$6:$I$1005,($A$4*12+8),'LANÇAMENTOS'!$B$6:$B$1005,"ENTRADA",'LANÇAMENTOS'!$D$6:$D$1005,$A86))</f>
        <v/>
      </c>
      <c r="J86" s="31">
        <f>IF($A86="","",SUMIFS('LANÇAMENTOS'!$G$6:$G$1005,'LANÇAMENTOS'!$I$6:$I$1005,($A$4*12+9),'LANÇAMENTOS'!$B$6:$B$1005,"ENTRADA",'LANÇAMENTOS'!$D$6:$D$1005,$A86))</f>
        <v/>
      </c>
      <c r="K86" s="31">
        <f>IF($A86="","",SUMIFS('LANÇAMENTOS'!$G$6:$G$1005,'LANÇAMENTOS'!$I$6:$I$1005,($A$4*12+10),'LANÇAMENTOS'!$B$6:$B$1005,"ENTRADA",'LANÇAMENTOS'!$D$6:$D$1005,$A86))</f>
        <v/>
      </c>
      <c r="L86" s="31">
        <f>IF($A86="","",SUMIFS('LANÇAMENTOS'!$G$6:$G$1005,'LANÇAMENTOS'!$I$6:$I$1005,($A$4*12+11),'LANÇAMENTOS'!$B$6:$B$1005,"ENTRADA",'LANÇAMENTOS'!$D$6:$D$1005,$A86))</f>
        <v/>
      </c>
      <c r="M86" s="31">
        <f>IF($A86="","",SUMIFS('LANÇAMENTOS'!$G$6:$G$1005,'LANÇAMENTOS'!$I$6:$I$1005,($A$4*12+12),'LANÇAMENTOS'!$B$6:$B$1005,"ENTRADA",'LANÇAMENTOS'!$D$6:$D$1005,$A86))</f>
        <v/>
      </c>
      <c r="N86" s="43">
        <f>IF($A86="","",SUM(B86:M86))</f>
        <v/>
      </c>
    </row>
    <row r="87">
      <c r="A87" s="18">
        <f>IF(LISTAS!$B25="ENTRADA",LISTAS!$A25,"")</f>
        <v/>
      </c>
      <c r="B87" s="31">
        <f>IF($A87="","",SUMIFS('LANÇAMENTOS'!$G$6:$G$1005,'LANÇAMENTOS'!$I$6:$I$1005,($A$4*12+1),'LANÇAMENTOS'!$B$6:$B$1005,"ENTRADA",'LANÇAMENTOS'!$D$6:$D$1005,$A87))</f>
        <v/>
      </c>
      <c r="C87" s="31">
        <f>IF($A87="","",SUMIFS('LANÇAMENTOS'!$G$6:$G$1005,'LANÇAMENTOS'!$I$6:$I$1005,($A$4*12+2),'LANÇAMENTOS'!$B$6:$B$1005,"ENTRADA",'LANÇAMENTOS'!$D$6:$D$1005,$A87))</f>
        <v/>
      </c>
      <c r="D87" s="31">
        <f>IF($A87="","",SUMIFS('LANÇAMENTOS'!$G$6:$G$1005,'LANÇAMENTOS'!$I$6:$I$1005,($A$4*12+3),'LANÇAMENTOS'!$B$6:$B$1005,"ENTRADA",'LANÇAMENTOS'!$D$6:$D$1005,$A87))</f>
        <v/>
      </c>
      <c r="E87" s="31">
        <f>IF($A87="","",SUMIFS('LANÇAMENTOS'!$G$6:$G$1005,'LANÇAMENTOS'!$I$6:$I$1005,($A$4*12+4),'LANÇAMENTOS'!$B$6:$B$1005,"ENTRADA",'LANÇAMENTOS'!$D$6:$D$1005,$A87))</f>
        <v/>
      </c>
      <c r="F87" s="31">
        <f>IF($A87="","",SUMIFS('LANÇAMENTOS'!$G$6:$G$1005,'LANÇAMENTOS'!$I$6:$I$1005,($A$4*12+5),'LANÇAMENTOS'!$B$6:$B$1005,"ENTRADA",'LANÇAMENTOS'!$D$6:$D$1005,$A87))</f>
        <v/>
      </c>
      <c r="G87" s="31">
        <f>IF($A87="","",SUMIFS('LANÇAMENTOS'!$G$6:$G$1005,'LANÇAMENTOS'!$I$6:$I$1005,($A$4*12+6),'LANÇAMENTOS'!$B$6:$B$1005,"ENTRADA",'LANÇAMENTOS'!$D$6:$D$1005,$A87))</f>
        <v/>
      </c>
      <c r="H87" s="31">
        <f>IF($A87="","",SUMIFS('LANÇAMENTOS'!$G$6:$G$1005,'LANÇAMENTOS'!$I$6:$I$1005,($A$4*12+7),'LANÇAMENTOS'!$B$6:$B$1005,"ENTRADA",'LANÇAMENTOS'!$D$6:$D$1005,$A87))</f>
        <v/>
      </c>
      <c r="I87" s="31">
        <f>IF($A87="","",SUMIFS('LANÇAMENTOS'!$G$6:$G$1005,'LANÇAMENTOS'!$I$6:$I$1005,($A$4*12+8),'LANÇAMENTOS'!$B$6:$B$1005,"ENTRADA",'LANÇAMENTOS'!$D$6:$D$1005,$A87))</f>
        <v/>
      </c>
      <c r="J87" s="31">
        <f>IF($A87="","",SUMIFS('LANÇAMENTOS'!$G$6:$G$1005,'LANÇAMENTOS'!$I$6:$I$1005,($A$4*12+9),'LANÇAMENTOS'!$B$6:$B$1005,"ENTRADA",'LANÇAMENTOS'!$D$6:$D$1005,$A87))</f>
        <v/>
      </c>
      <c r="K87" s="31">
        <f>IF($A87="","",SUMIFS('LANÇAMENTOS'!$G$6:$G$1005,'LANÇAMENTOS'!$I$6:$I$1005,($A$4*12+10),'LANÇAMENTOS'!$B$6:$B$1005,"ENTRADA",'LANÇAMENTOS'!$D$6:$D$1005,$A87))</f>
        <v/>
      </c>
      <c r="L87" s="31">
        <f>IF($A87="","",SUMIFS('LANÇAMENTOS'!$G$6:$G$1005,'LANÇAMENTOS'!$I$6:$I$1005,($A$4*12+11),'LANÇAMENTOS'!$B$6:$B$1005,"ENTRADA",'LANÇAMENTOS'!$D$6:$D$1005,$A87))</f>
        <v/>
      </c>
      <c r="M87" s="31">
        <f>IF($A87="","",SUMIFS('LANÇAMENTOS'!$G$6:$G$1005,'LANÇAMENTOS'!$I$6:$I$1005,($A$4*12+12),'LANÇAMENTOS'!$B$6:$B$1005,"ENTRADA",'LANÇAMENTOS'!$D$6:$D$1005,$A87))</f>
        <v/>
      </c>
      <c r="N87" s="43">
        <f>IF($A87="","",SUM(B87:M87))</f>
        <v/>
      </c>
    </row>
    <row r="88">
      <c r="A88" s="18">
        <f>IF(LISTAS!$B26="ENTRADA",LISTAS!$A26,"")</f>
        <v/>
      </c>
      <c r="B88" s="31">
        <f>IF($A88="","",SUMIFS('LANÇAMENTOS'!$G$6:$G$1005,'LANÇAMENTOS'!$I$6:$I$1005,($A$4*12+1),'LANÇAMENTOS'!$B$6:$B$1005,"ENTRADA",'LANÇAMENTOS'!$D$6:$D$1005,$A88))</f>
        <v/>
      </c>
      <c r="C88" s="31">
        <f>IF($A88="","",SUMIFS('LANÇAMENTOS'!$G$6:$G$1005,'LANÇAMENTOS'!$I$6:$I$1005,($A$4*12+2),'LANÇAMENTOS'!$B$6:$B$1005,"ENTRADA",'LANÇAMENTOS'!$D$6:$D$1005,$A88))</f>
        <v/>
      </c>
      <c r="D88" s="31">
        <f>IF($A88="","",SUMIFS('LANÇAMENTOS'!$G$6:$G$1005,'LANÇAMENTOS'!$I$6:$I$1005,($A$4*12+3),'LANÇAMENTOS'!$B$6:$B$1005,"ENTRADA",'LANÇAMENTOS'!$D$6:$D$1005,$A88))</f>
        <v/>
      </c>
      <c r="E88" s="31">
        <f>IF($A88="","",SUMIFS('LANÇAMENTOS'!$G$6:$G$1005,'LANÇAMENTOS'!$I$6:$I$1005,($A$4*12+4),'LANÇAMENTOS'!$B$6:$B$1005,"ENTRADA",'LANÇAMENTOS'!$D$6:$D$1005,$A88))</f>
        <v/>
      </c>
      <c r="F88" s="31">
        <f>IF($A88="","",SUMIFS('LANÇAMENTOS'!$G$6:$G$1005,'LANÇAMENTOS'!$I$6:$I$1005,($A$4*12+5),'LANÇAMENTOS'!$B$6:$B$1005,"ENTRADA",'LANÇAMENTOS'!$D$6:$D$1005,$A88))</f>
        <v/>
      </c>
      <c r="G88" s="31">
        <f>IF($A88="","",SUMIFS('LANÇAMENTOS'!$G$6:$G$1005,'LANÇAMENTOS'!$I$6:$I$1005,($A$4*12+6),'LANÇAMENTOS'!$B$6:$B$1005,"ENTRADA",'LANÇAMENTOS'!$D$6:$D$1005,$A88))</f>
        <v/>
      </c>
      <c r="H88" s="31">
        <f>IF($A88="","",SUMIFS('LANÇAMENTOS'!$G$6:$G$1005,'LANÇAMENTOS'!$I$6:$I$1005,($A$4*12+7),'LANÇAMENTOS'!$B$6:$B$1005,"ENTRADA",'LANÇAMENTOS'!$D$6:$D$1005,$A88))</f>
        <v/>
      </c>
      <c r="I88" s="31">
        <f>IF($A88="","",SUMIFS('LANÇAMENTOS'!$G$6:$G$1005,'LANÇAMENTOS'!$I$6:$I$1005,($A$4*12+8),'LANÇAMENTOS'!$B$6:$B$1005,"ENTRADA",'LANÇAMENTOS'!$D$6:$D$1005,$A88))</f>
        <v/>
      </c>
      <c r="J88" s="31">
        <f>IF($A88="","",SUMIFS('LANÇAMENTOS'!$G$6:$G$1005,'LANÇAMENTOS'!$I$6:$I$1005,($A$4*12+9),'LANÇAMENTOS'!$B$6:$B$1005,"ENTRADA",'LANÇAMENTOS'!$D$6:$D$1005,$A88))</f>
        <v/>
      </c>
      <c r="K88" s="31">
        <f>IF($A88="","",SUMIFS('LANÇAMENTOS'!$G$6:$G$1005,'LANÇAMENTOS'!$I$6:$I$1005,($A$4*12+10),'LANÇAMENTOS'!$B$6:$B$1005,"ENTRADA",'LANÇAMENTOS'!$D$6:$D$1005,$A88))</f>
        <v/>
      </c>
      <c r="L88" s="31">
        <f>IF($A88="","",SUMIFS('LANÇAMENTOS'!$G$6:$G$1005,'LANÇAMENTOS'!$I$6:$I$1005,($A$4*12+11),'LANÇAMENTOS'!$B$6:$B$1005,"ENTRADA",'LANÇAMENTOS'!$D$6:$D$1005,$A88))</f>
        <v/>
      </c>
      <c r="M88" s="31">
        <f>IF($A88="","",SUMIFS('LANÇAMENTOS'!$G$6:$G$1005,'LANÇAMENTOS'!$I$6:$I$1005,($A$4*12+12),'LANÇAMENTOS'!$B$6:$B$1005,"ENTRADA",'LANÇAMENTOS'!$D$6:$D$1005,$A88))</f>
        <v/>
      </c>
      <c r="N88" s="43">
        <f>IF($A88="","",SUM(B88:M88))</f>
        <v/>
      </c>
    </row>
    <row r="89">
      <c r="A89" s="18">
        <f>IF(LISTAS!$B27="ENTRADA",LISTAS!$A27,"")</f>
        <v/>
      </c>
      <c r="B89" s="31">
        <f>IF($A89="","",SUMIFS('LANÇAMENTOS'!$G$6:$G$1005,'LANÇAMENTOS'!$I$6:$I$1005,($A$4*12+1),'LANÇAMENTOS'!$B$6:$B$1005,"ENTRADA",'LANÇAMENTOS'!$D$6:$D$1005,$A89))</f>
        <v/>
      </c>
      <c r="C89" s="31">
        <f>IF($A89="","",SUMIFS('LANÇAMENTOS'!$G$6:$G$1005,'LANÇAMENTOS'!$I$6:$I$1005,($A$4*12+2),'LANÇAMENTOS'!$B$6:$B$1005,"ENTRADA",'LANÇAMENTOS'!$D$6:$D$1005,$A89))</f>
        <v/>
      </c>
      <c r="D89" s="31">
        <f>IF($A89="","",SUMIFS('LANÇAMENTOS'!$G$6:$G$1005,'LANÇAMENTOS'!$I$6:$I$1005,($A$4*12+3),'LANÇAMENTOS'!$B$6:$B$1005,"ENTRADA",'LANÇAMENTOS'!$D$6:$D$1005,$A89))</f>
        <v/>
      </c>
      <c r="E89" s="31">
        <f>IF($A89="","",SUMIFS('LANÇAMENTOS'!$G$6:$G$1005,'LANÇAMENTOS'!$I$6:$I$1005,($A$4*12+4),'LANÇAMENTOS'!$B$6:$B$1005,"ENTRADA",'LANÇAMENTOS'!$D$6:$D$1005,$A89))</f>
        <v/>
      </c>
      <c r="F89" s="31">
        <f>IF($A89="","",SUMIFS('LANÇAMENTOS'!$G$6:$G$1005,'LANÇAMENTOS'!$I$6:$I$1005,($A$4*12+5),'LANÇAMENTOS'!$B$6:$B$1005,"ENTRADA",'LANÇAMENTOS'!$D$6:$D$1005,$A89))</f>
        <v/>
      </c>
      <c r="G89" s="31">
        <f>IF($A89="","",SUMIFS('LANÇAMENTOS'!$G$6:$G$1005,'LANÇAMENTOS'!$I$6:$I$1005,($A$4*12+6),'LANÇAMENTOS'!$B$6:$B$1005,"ENTRADA",'LANÇAMENTOS'!$D$6:$D$1005,$A89))</f>
        <v/>
      </c>
      <c r="H89" s="31">
        <f>IF($A89="","",SUMIFS('LANÇAMENTOS'!$G$6:$G$1005,'LANÇAMENTOS'!$I$6:$I$1005,($A$4*12+7),'LANÇAMENTOS'!$B$6:$B$1005,"ENTRADA",'LANÇAMENTOS'!$D$6:$D$1005,$A89))</f>
        <v/>
      </c>
      <c r="I89" s="31">
        <f>IF($A89="","",SUMIFS('LANÇAMENTOS'!$G$6:$G$1005,'LANÇAMENTOS'!$I$6:$I$1005,($A$4*12+8),'LANÇAMENTOS'!$B$6:$B$1005,"ENTRADA",'LANÇAMENTOS'!$D$6:$D$1005,$A89))</f>
        <v/>
      </c>
      <c r="J89" s="31">
        <f>IF($A89="","",SUMIFS('LANÇAMENTOS'!$G$6:$G$1005,'LANÇAMENTOS'!$I$6:$I$1005,($A$4*12+9),'LANÇAMENTOS'!$B$6:$B$1005,"ENTRADA",'LANÇAMENTOS'!$D$6:$D$1005,$A89))</f>
        <v/>
      </c>
      <c r="K89" s="31">
        <f>IF($A89="","",SUMIFS('LANÇAMENTOS'!$G$6:$G$1005,'LANÇAMENTOS'!$I$6:$I$1005,($A$4*12+10),'LANÇAMENTOS'!$B$6:$B$1005,"ENTRADA",'LANÇAMENTOS'!$D$6:$D$1005,$A89))</f>
        <v/>
      </c>
      <c r="L89" s="31">
        <f>IF($A89="","",SUMIFS('LANÇAMENTOS'!$G$6:$G$1005,'LANÇAMENTOS'!$I$6:$I$1005,($A$4*12+11),'LANÇAMENTOS'!$B$6:$B$1005,"ENTRADA",'LANÇAMENTOS'!$D$6:$D$1005,$A89))</f>
        <v/>
      </c>
      <c r="M89" s="31">
        <f>IF($A89="","",SUMIFS('LANÇAMENTOS'!$G$6:$G$1005,'LANÇAMENTOS'!$I$6:$I$1005,($A$4*12+12),'LANÇAMENTOS'!$B$6:$B$1005,"ENTRADA",'LANÇAMENTOS'!$D$6:$D$1005,$A89))</f>
        <v/>
      </c>
      <c r="N89" s="43">
        <f>IF($A89="","",SUM(B89:M89))</f>
        <v/>
      </c>
    </row>
    <row r="90">
      <c r="A90" s="18">
        <f>IF(LISTAS!$B28="ENTRADA",LISTAS!$A28,"")</f>
        <v/>
      </c>
      <c r="B90" s="31">
        <f>IF($A90="","",SUMIFS('LANÇAMENTOS'!$G$6:$G$1005,'LANÇAMENTOS'!$I$6:$I$1005,($A$4*12+1),'LANÇAMENTOS'!$B$6:$B$1005,"ENTRADA",'LANÇAMENTOS'!$D$6:$D$1005,$A90))</f>
        <v/>
      </c>
      <c r="C90" s="31">
        <f>IF($A90="","",SUMIFS('LANÇAMENTOS'!$G$6:$G$1005,'LANÇAMENTOS'!$I$6:$I$1005,($A$4*12+2),'LANÇAMENTOS'!$B$6:$B$1005,"ENTRADA",'LANÇAMENTOS'!$D$6:$D$1005,$A90))</f>
        <v/>
      </c>
      <c r="D90" s="31">
        <f>IF($A90="","",SUMIFS('LANÇAMENTOS'!$G$6:$G$1005,'LANÇAMENTOS'!$I$6:$I$1005,($A$4*12+3),'LANÇAMENTOS'!$B$6:$B$1005,"ENTRADA",'LANÇAMENTOS'!$D$6:$D$1005,$A90))</f>
        <v/>
      </c>
      <c r="E90" s="31">
        <f>IF($A90="","",SUMIFS('LANÇAMENTOS'!$G$6:$G$1005,'LANÇAMENTOS'!$I$6:$I$1005,($A$4*12+4),'LANÇAMENTOS'!$B$6:$B$1005,"ENTRADA",'LANÇAMENTOS'!$D$6:$D$1005,$A90))</f>
        <v/>
      </c>
      <c r="F90" s="31">
        <f>IF($A90="","",SUMIFS('LANÇAMENTOS'!$G$6:$G$1005,'LANÇAMENTOS'!$I$6:$I$1005,($A$4*12+5),'LANÇAMENTOS'!$B$6:$B$1005,"ENTRADA",'LANÇAMENTOS'!$D$6:$D$1005,$A90))</f>
        <v/>
      </c>
      <c r="G90" s="31">
        <f>IF($A90="","",SUMIFS('LANÇAMENTOS'!$G$6:$G$1005,'LANÇAMENTOS'!$I$6:$I$1005,($A$4*12+6),'LANÇAMENTOS'!$B$6:$B$1005,"ENTRADA",'LANÇAMENTOS'!$D$6:$D$1005,$A90))</f>
        <v/>
      </c>
      <c r="H90" s="31">
        <f>IF($A90="","",SUMIFS('LANÇAMENTOS'!$G$6:$G$1005,'LANÇAMENTOS'!$I$6:$I$1005,($A$4*12+7),'LANÇAMENTOS'!$B$6:$B$1005,"ENTRADA",'LANÇAMENTOS'!$D$6:$D$1005,$A90))</f>
        <v/>
      </c>
      <c r="I90" s="31">
        <f>IF($A90="","",SUMIFS('LANÇAMENTOS'!$G$6:$G$1005,'LANÇAMENTOS'!$I$6:$I$1005,($A$4*12+8),'LANÇAMENTOS'!$B$6:$B$1005,"ENTRADA",'LANÇAMENTOS'!$D$6:$D$1005,$A90))</f>
        <v/>
      </c>
      <c r="J90" s="31">
        <f>IF($A90="","",SUMIFS('LANÇAMENTOS'!$G$6:$G$1005,'LANÇAMENTOS'!$I$6:$I$1005,($A$4*12+9),'LANÇAMENTOS'!$B$6:$B$1005,"ENTRADA",'LANÇAMENTOS'!$D$6:$D$1005,$A90))</f>
        <v/>
      </c>
      <c r="K90" s="31">
        <f>IF($A90="","",SUMIFS('LANÇAMENTOS'!$G$6:$G$1005,'LANÇAMENTOS'!$I$6:$I$1005,($A$4*12+10),'LANÇAMENTOS'!$B$6:$B$1005,"ENTRADA",'LANÇAMENTOS'!$D$6:$D$1005,$A90))</f>
        <v/>
      </c>
      <c r="L90" s="31">
        <f>IF($A90="","",SUMIFS('LANÇAMENTOS'!$G$6:$G$1005,'LANÇAMENTOS'!$I$6:$I$1005,($A$4*12+11),'LANÇAMENTOS'!$B$6:$B$1005,"ENTRADA",'LANÇAMENTOS'!$D$6:$D$1005,$A90))</f>
        <v/>
      </c>
      <c r="M90" s="31">
        <f>IF($A90="","",SUMIFS('LANÇAMENTOS'!$G$6:$G$1005,'LANÇAMENTOS'!$I$6:$I$1005,($A$4*12+12),'LANÇAMENTOS'!$B$6:$B$1005,"ENTRADA",'LANÇAMENTOS'!$D$6:$D$1005,$A90))</f>
        <v/>
      </c>
      <c r="N90" s="43">
        <f>IF($A90="","",SUM(B90:M90))</f>
        <v/>
      </c>
    </row>
    <row r="91">
      <c r="A91" s="18">
        <f>IF(LISTAS!$B29="ENTRADA",LISTAS!$A29,"")</f>
        <v/>
      </c>
      <c r="B91" s="31">
        <f>IF($A91="","",SUMIFS('LANÇAMENTOS'!$G$6:$G$1005,'LANÇAMENTOS'!$I$6:$I$1005,($A$4*12+1),'LANÇAMENTOS'!$B$6:$B$1005,"ENTRADA",'LANÇAMENTOS'!$D$6:$D$1005,$A91))</f>
        <v/>
      </c>
      <c r="C91" s="31">
        <f>IF($A91="","",SUMIFS('LANÇAMENTOS'!$G$6:$G$1005,'LANÇAMENTOS'!$I$6:$I$1005,($A$4*12+2),'LANÇAMENTOS'!$B$6:$B$1005,"ENTRADA",'LANÇAMENTOS'!$D$6:$D$1005,$A91))</f>
        <v/>
      </c>
      <c r="D91" s="31">
        <f>IF($A91="","",SUMIFS('LANÇAMENTOS'!$G$6:$G$1005,'LANÇAMENTOS'!$I$6:$I$1005,($A$4*12+3),'LANÇAMENTOS'!$B$6:$B$1005,"ENTRADA",'LANÇAMENTOS'!$D$6:$D$1005,$A91))</f>
        <v/>
      </c>
      <c r="E91" s="31">
        <f>IF($A91="","",SUMIFS('LANÇAMENTOS'!$G$6:$G$1005,'LANÇAMENTOS'!$I$6:$I$1005,($A$4*12+4),'LANÇAMENTOS'!$B$6:$B$1005,"ENTRADA",'LANÇAMENTOS'!$D$6:$D$1005,$A91))</f>
        <v/>
      </c>
      <c r="F91" s="31">
        <f>IF($A91="","",SUMIFS('LANÇAMENTOS'!$G$6:$G$1005,'LANÇAMENTOS'!$I$6:$I$1005,($A$4*12+5),'LANÇAMENTOS'!$B$6:$B$1005,"ENTRADA",'LANÇAMENTOS'!$D$6:$D$1005,$A91))</f>
        <v/>
      </c>
      <c r="G91" s="31">
        <f>IF($A91="","",SUMIFS('LANÇAMENTOS'!$G$6:$G$1005,'LANÇAMENTOS'!$I$6:$I$1005,($A$4*12+6),'LANÇAMENTOS'!$B$6:$B$1005,"ENTRADA",'LANÇAMENTOS'!$D$6:$D$1005,$A91))</f>
        <v/>
      </c>
      <c r="H91" s="31">
        <f>IF($A91="","",SUMIFS('LANÇAMENTOS'!$G$6:$G$1005,'LANÇAMENTOS'!$I$6:$I$1005,($A$4*12+7),'LANÇAMENTOS'!$B$6:$B$1005,"ENTRADA",'LANÇAMENTOS'!$D$6:$D$1005,$A91))</f>
        <v/>
      </c>
      <c r="I91" s="31">
        <f>IF($A91="","",SUMIFS('LANÇAMENTOS'!$G$6:$G$1005,'LANÇAMENTOS'!$I$6:$I$1005,($A$4*12+8),'LANÇAMENTOS'!$B$6:$B$1005,"ENTRADA",'LANÇAMENTOS'!$D$6:$D$1005,$A91))</f>
        <v/>
      </c>
      <c r="J91" s="31">
        <f>IF($A91="","",SUMIFS('LANÇAMENTOS'!$G$6:$G$1005,'LANÇAMENTOS'!$I$6:$I$1005,($A$4*12+9),'LANÇAMENTOS'!$B$6:$B$1005,"ENTRADA",'LANÇAMENTOS'!$D$6:$D$1005,$A91))</f>
        <v/>
      </c>
      <c r="K91" s="31">
        <f>IF($A91="","",SUMIFS('LANÇAMENTOS'!$G$6:$G$1005,'LANÇAMENTOS'!$I$6:$I$1005,($A$4*12+10),'LANÇAMENTOS'!$B$6:$B$1005,"ENTRADA",'LANÇAMENTOS'!$D$6:$D$1005,$A91))</f>
        <v/>
      </c>
      <c r="L91" s="31">
        <f>IF($A91="","",SUMIFS('LANÇAMENTOS'!$G$6:$G$1005,'LANÇAMENTOS'!$I$6:$I$1005,($A$4*12+11),'LANÇAMENTOS'!$B$6:$B$1005,"ENTRADA",'LANÇAMENTOS'!$D$6:$D$1005,$A91))</f>
        <v/>
      </c>
      <c r="M91" s="31">
        <f>IF($A91="","",SUMIFS('LANÇAMENTOS'!$G$6:$G$1005,'LANÇAMENTOS'!$I$6:$I$1005,($A$4*12+12),'LANÇAMENTOS'!$B$6:$B$1005,"ENTRADA",'LANÇAMENTOS'!$D$6:$D$1005,$A91))</f>
        <v/>
      </c>
      <c r="N91" s="43">
        <f>IF($A91="","",SUM(B91:M91))</f>
        <v/>
      </c>
    </row>
    <row r="92">
      <c r="A92" s="18">
        <f>IF(LISTAS!$B30="ENTRADA",LISTAS!$A30,"")</f>
        <v/>
      </c>
      <c r="B92" s="31">
        <f>IF($A92="","",SUMIFS('LANÇAMENTOS'!$G$6:$G$1005,'LANÇAMENTOS'!$I$6:$I$1005,($A$4*12+1),'LANÇAMENTOS'!$B$6:$B$1005,"ENTRADA",'LANÇAMENTOS'!$D$6:$D$1005,$A92))</f>
        <v/>
      </c>
      <c r="C92" s="31">
        <f>IF($A92="","",SUMIFS('LANÇAMENTOS'!$G$6:$G$1005,'LANÇAMENTOS'!$I$6:$I$1005,($A$4*12+2),'LANÇAMENTOS'!$B$6:$B$1005,"ENTRADA",'LANÇAMENTOS'!$D$6:$D$1005,$A92))</f>
        <v/>
      </c>
      <c r="D92" s="31">
        <f>IF($A92="","",SUMIFS('LANÇAMENTOS'!$G$6:$G$1005,'LANÇAMENTOS'!$I$6:$I$1005,($A$4*12+3),'LANÇAMENTOS'!$B$6:$B$1005,"ENTRADA",'LANÇAMENTOS'!$D$6:$D$1005,$A92))</f>
        <v/>
      </c>
      <c r="E92" s="31">
        <f>IF($A92="","",SUMIFS('LANÇAMENTOS'!$G$6:$G$1005,'LANÇAMENTOS'!$I$6:$I$1005,($A$4*12+4),'LANÇAMENTOS'!$B$6:$B$1005,"ENTRADA",'LANÇAMENTOS'!$D$6:$D$1005,$A92))</f>
        <v/>
      </c>
      <c r="F92" s="31">
        <f>IF($A92="","",SUMIFS('LANÇAMENTOS'!$G$6:$G$1005,'LANÇAMENTOS'!$I$6:$I$1005,($A$4*12+5),'LANÇAMENTOS'!$B$6:$B$1005,"ENTRADA",'LANÇAMENTOS'!$D$6:$D$1005,$A92))</f>
        <v/>
      </c>
      <c r="G92" s="31">
        <f>IF($A92="","",SUMIFS('LANÇAMENTOS'!$G$6:$G$1005,'LANÇAMENTOS'!$I$6:$I$1005,($A$4*12+6),'LANÇAMENTOS'!$B$6:$B$1005,"ENTRADA",'LANÇAMENTOS'!$D$6:$D$1005,$A92))</f>
        <v/>
      </c>
      <c r="H92" s="31">
        <f>IF($A92="","",SUMIFS('LANÇAMENTOS'!$G$6:$G$1005,'LANÇAMENTOS'!$I$6:$I$1005,($A$4*12+7),'LANÇAMENTOS'!$B$6:$B$1005,"ENTRADA",'LANÇAMENTOS'!$D$6:$D$1005,$A92))</f>
        <v/>
      </c>
      <c r="I92" s="31">
        <f>IF($A92="","",SUMIFS('LANÇAMENTOS'!$G$6:$G$1005,'LANÇAMENTOS'!$I$6:$I$1005,($A$4*12+8),'LANÇAMENTOS'!$B$6:$B$1005,"ENTRADA",'LANÇAMENTOS'!$D$6:$D$1005,$A92))</f>
        <v/>
      </c>
      <c r="J92" s="31">
        <f>IF($A92="","",SUMIFS('LANÇAMENTOS'!$G$6:$G$1005,'LANÇAMENTOS'!$I$6:$I$1005,($A$4*12+9),'LANÇAMENTOS'!$B$6:$B$1005,"ENTRADA",'LANÇAMENTOS'!$D$6:$D$1005,$A92))</f>
        <v/>
      </c>
      <c r="K92" s="31">
        <f>IF($A92="","",SUMIFS('LANÇAMENTOS'!$G$6:$G$1005,'LANÇAMENTOS'!$I$6:$I$1005,($A$4*12+10),'LANÇAMENTOS'!$B$6:$B$1005,"ENTRADA",'LANÇAMENTOS'!$D$6:$D$1005,$A92))</f>
        <v/>
      </c>
      <c r="L92" s="31">
        <f>IF($A92="","",SUMIFS('LANÇAMENTOS'!$G$6:$G$1005,'LANÇAMENTOS'!$I$6:$I$1005,($A$4*12+11),'LANÇAMENTOS'!$B$6:$B$1005,"ENTRADA",'LANÇAMENTOS'!$D$6:$D$1005,$A92))</f>
        <v/>
      </c>
      <c r="M92" s="31">
        <f>IF($A92="","",SUMIFS('LANÇAMENTOS'!$G$6:$G$1005,'LANÇAMENTOS'!$I$6:$I$1005,($A$4*12+12),'LANÇAMENTOS'!$B$6:$B$1005,"ENTRADA",'LANÇAMENTOS'!$D$6:$D$1005,$A92))</f>
        <v/>
      </c>
      <c r="N92" s="43">
        <f>IF($A92="","",SUM(B92:M92))</f>
        <v/>
      </c>
    </row>
    <row r="93">
      <c r="A93" s="18">
        <f>IF(LISTAS!$B31="ENTRADA",LISTAS!$A31,"")</f>
        <v/>
      </c>
      <c r="B93" s="31">
        <f>IF($A93="","",SUMIFS('LANÇAMENTOS'!$G$6:$G$1005,'LANÇAMENTOS'!$I$6:$I$1005,($A$4*12+1),'LANÇAMENTOS'!$B$6:$B$1005,"ENTRADA",'LANÇAMENTOS'!$D$6:$D$1005,$A93))</f>
        <v/>
      </c>
      <c r="C93" s="31">
        <f>IF($A93="","",SUMIFS('LANÇAMENTOS'!$G$6:$G$1005,'LANÇAMENTOS'!$I$6:$I$1005,($A$4*12+2),'LANÇAMENTOS'!$B$6:$B$1005,"ENTRADA",'LANÇAMENTOS'!$D$6:$D$1005,$A93))</f>
        <v/>
      </c>
      <c r="D93" s="31">
        <f>IF($A93="","",SUMIFS('LANÇAMENTOS'!$G$6:$G$1005,'LANÇAMENTOS'!$I$6:$I$1005,($A$4*12+3),'LANÇAMENTOS'!$B$6:$B$1005,"ENTRADA",'LANÇAMENTOS'!$D$6:$D$1005,$A93))</f>
        <v/>
      </c>
      <c r="E93" s="31">
        <f>IF($A93="","",SUMIFS('LANÇAMENTOS'!$G$6:$G$1005,'LANÇAMENTOS'!$I$6:$I$1005,($A$4*12+4),'LANÇAMENTOS'!$B$6:$B$1005,"ENTRADA",'LANÇAMENTOS'!$D$6:$D$1005,$A93))</f>
        <v/>
      </c>
      <c r="F93" s="31">
        <f>IF($A93="","",SUMIFS('LANÇAMENTOS'!$G$6:$G$1005,'LANÇAMENTOS'!$I$6:$I$1005,($A$4*12+5),'LANÇAMENTOS'!$B$6:$B$1005,"ENTRADA",'LANÇAMENTOS'!$D$6:$D$1005,$A93))</f>
        <v/>
      </c>
      <c r="G93" s="31">
        <f>IF($A93="","",SUMIFS('LANÇAMENTOS'!$G$6:$G$1005,'LANÇAMENTOS'!$I$6:$I$1005,($A$4*12+6),'LANÇAMENTOS'!$B$6:$B$1005,"ENTRADA",'LANÇAMENTOS'!$D$6:$D$1005,$A93))</f>
        <v/>
      </c>
      <c r="H93" s="31">
        <f>IF($A93="","",SUMIFS('LANÇAMENTOS'!$G$6:$G$1005,'LANÇAMENTOS'!$I$6:$I$1005,($A$4*12+7),'LANÇAMENTOS'!$B$6:$B$1005,"ENTRADA",'LANÇAMENTOS'!$D$6:$D$1005,$A93))</f>
        <v/>
      </c>
      <c r="I93" s="31">
        <f>IF($A93="","",SUMIFS('LANÇAMENTOS'!$G$6:$G$1005,'LANÇAMENTOS'!$I$6:$I$1005,($A$4*12+8),'LANÇAMENTOS'!$B$6:$B$1005,"ENTRADA",'LANÇAMENTOS'!$D$6:$D$1005,$A93))</f>
        <v/>
      </c>
      <c r="J93" s="31">
        <f>IF($A93="","",SUMIFS('LANÇAMENTOS'!$G$6:$G$1005,'LANÇAMENTOS'!$I$6:$I$1005,($A$4*12+9),'LANÇAMENTOS'!$B$6:$B$1005,"ENTRADA",'LANÇAMENTOS'!$D$6:$D$1005,$A93))</f>
        <v/>
      </c>
      <c r="K93" s="31">
        <f>IF($A93="","",SUMIFS('LANÇAMENTOS'!$G$6:$G$1005,'LANÇAMENTOS'!$I$6:$I$1005,($A$4*12+10),'LANÇAMENTOS'!$B$6:$B$1005,"ENTRADA",'LANÇAMENTOS'!$D$6:$D$1005,$A93))</f>
        <v/>
      </c>
      <c r="L93" s="31">
        <f>IF($A93="","",SUMIFS('LANÇAMENTOS'!$G$6:$G$1005,'LANÇAMENTOS'!$I$6:$I$1005,($A$4*12+11),'LANÇAMENTOS'!$B$6:$B$1005,"ENTRADA",'LANÇAMENTOS'!$D$6:$D$1005,$A93))</f>
        <v/>
      </c>
      <c r="M93" s="31">
        <f>IF($A93="","",SUMIFS('LANÇAMENTOS'!$G$6:$G$1005,'LANÇAMENTOS'!$I$6:$I$1005,($A$4*12+12),'LANÇAMENTOS'!$B$6:$B$1005,"ENTRADA",'LANÇAMENTOS'!$D$6:$D$1005,$A93))</f>
        <v/>
      </c>
      <c r="N93" s="43">
        <f>IF($A93="","",SUM(B93:M93))</f>
        <v/>
      </c>
    </row>
    <row r="94">
      <c r="A94" s="18">
        <f>IF(LISTAS!$B32="ENTRADA",LISTAS!$A32,"")</f>
        <v/>
      </c>
      <c r="B94" s="31">
        <f>IF($A94="","",SUMIFS('LANÇAMENTOS'!$G$6:$G$1005,'LANÇAMENTOS'!$I$6:$I$1005,($A$4*12+1),'LANÇAMENTOS'!$B$6:$B$1005,"ENTRADA",'LANÇAMENTOS'!$D$6:$D$1005,$A94))</f>
        <v/>
      </c>
      <c r="C94" s="31">
        <f>IF($A94="","",SUMIFS('LANÇAMENTOS'!$G$6:$G$1005,'LANÇAMENTOS'!$I$6:$I$1005,($A$4*12+2),'LANÇAMENTOS'!$B$6:$B$1005,"ENTRADA",'LANÇAMENTOS'!$D$6:$D$1005,$A94))</f>
        <v/>
      </c>
      <c r="D94" s="31">
        <f>IF($A94="","",SUMIFS('LANÇAMENTOS'!$G$6:$G$1005,'LANÇAMENTOS'!$I$6:$I$1005,($A$4*12+3),'LANÇAMENTOS'!$B$6:$B$1005,"ENTRADA",'LANÇAMENTOS'!$D$6:$D$1005,$A94))</f>
        <v/>
      </c>
      <c r="E94" s="31">
        <f>IF($A94="","",SUMIFS('LANÇAMENTOS'!$G$6:$G$1005,'LANÇAMENTOS'!$I$6:$I$1005,($A$4*12+4),'LANÇAMENTOS'!$B$6:$B$1005,"ENTRADA",'LANÇAMENTOS'!$D$6:$D$1005,$A94))</f>
        <v/>
      </c>
      <c r="F94" s="31">
        <f>IF($A94="","",SUMIFS('LANÇAMENTOS'!$G$6:$G$1005,'LANÇAMENTOS'!$I$6:$I$1005,($A$4*12+5),'LANÇAMENTOS'!$B$6:$B$1005,"ENTRADA",'LANÇAMENTOS'!$D$6:$D$1005,$A94))</f>
        <v/>
      </c>
      <c r="G94" s="31">
        <f>IF($A94="","",SUMIFS('LANÇAMENTOS'!$G$6:$G$1005,'LANÇAMENTOS'!$I$6:$I$1005,($A$4*12+6),'LANÇAMENTOS'!$B$6:$B$1005,"ENTRADA",'LANÇAMENTOS'!$D$6:$D$1005,$A94))</f>
        <v/>
      </c>
      <c r="H94" s="31">
        <f>IF($A94="","",SUMIFS('LANÇAMENTOS'!$G$6:$G$1005,'LANÇAMENTOS'!$I$6:$I$1005,($A$4*12+7),'LANÇAMENTOS'!$B$6:$B$1005,"ENTRADA",'LANÇAMENTOS'!$D$6:$D$1005,$A94))</f>
        <v/>
      </c>
      <c r="I94" s="31">
        <f>IF($A94="","",SUMIFS('LANÇAMENTOS'!$G$6:$G$1005,'LANÇAMENTOS'!$I$6:$I$1005,($A$4*12+8),'LANÇAMENTOS'!$B$6:$B$1005,"ENTRADA",'LANÇAMENTOS'!$D$6:$D$1005,$A94))</f>
        <v/>
      </c>
      <c r="J94" s="31">
        <f>IF($A94="","",SUMIFS('LANÇAMENTOS'!$G$6:$G$1005,'LANÇAMENTOS'!$I$6:$I$1005,($A$4*12+9),'LANÇAMENTOS'!$B$6:$B$1005,"ENTRADA",'LANÇAMENTOS'!$D$6:$D$1005,$A94))</f>
        <v/>
      </c>
      <c r="K94" s="31">
        <f>IF($A94="","",SUMIFS('LANÇAMENTOS'!$G$6:$G$1005,'LANÇAMENTOS'!$I$6:$I$1005,($A$4*12+10),'LANÇAMENTOS'!$B$6:$B$1005,"ENTRADA",'LANÇAMENTOS'!$D$6:$D$1005,$A94))</f>
        <v/>
      </c>
      <c r="L94" s="31">
        <f>IF($A94="","",SUMIFS('LANÇAMENTOS'!$G$6:$G$1005,'LANÇAMENTOS'!$I$6:$I$1005,($A$4*12+11),'LANÇAMENTOS'!$B$6:$B$1005,"ENTRADA",'LANÇAMENTOS'!$D$6:$D$1005,$A94))</f>
        <v/>
      </c>
      <c r="M94" s="31">
        <f>IF($A94="","",SUMIFS('LANÇAMENTOS'!$G$6:$G$1005,'LANÇAMENTOS'!$I$6:$I$1005,($A$4*12+12),'LANÇAMENTOS'!$B$6:$B$1005,"ENTRADA",'LANÇAMENTOS'!$D$6:$D$1005,$A94))</f>
        <v/>
      </c>
      <c r="N94" s="43">
        <f>IF($A94="","",SUM(B94:M94))</f>
        <v/>
      </c>
    </row>
    <row r="95">
      <c r="A95" s="18">
        <f>IF(LISTAS!$B33="ENTRADA",LISTAS!$A33,"")</f>
        <v/>
      </c>
      <c r="B95" s="31">
        <f>IF($A95="","",SUMIFS('LANÇAMENTOS'!$G$6:$G$1005,'LANÇAMENTOS'!$I$6:$I$1005,($A$4*12+1),'LANÇAMENTOS'!$B$6:$B$1005,"ENTRADA",'LANÇAMENTOS'!$D$6:$D$1005,$A95))</f>
        <v/>
      </c>
      <c r="C95" s="31">
        <f>IF($A95="","",SUMIFS('LANÇAMENTOS'!$G$6:$G$1005,'LANÇAMENTOS'!$I$6:$I$1005,($A$4*12+2),'LANÇAMENTOS'!$B$6:$B$1005,"ENTRADA",'LANÇAMENTOS'!$D$6:$D$1005,$A95))</f>
        <v/>
      </c>
      <c r="D95" s="31">
        <f>IF($A95="","",SUMIFS('LANÇAMENTOS'!$G$6:$G$1005,'LANÇAMENTOS'!$I$6:$I$1005,($A$4*12+3),'LANÇAMENTOS'!$B$6:$B$1005,"ENTRADA",'LANÇAMENTOS'!$D$6:$D$1005,$A95))</f>
        <v/>
      </c>
      <c r="E95" s="31">
        <f>IF($A95="","",SUMIFS('LANÇAMENTOS'!$G$6:$G$1005,'LANÇAMENTOS'!$I$6:$I$1005,($A$4*12+4),'LANÇAMENTOS'!$B$6:$B$1005,"ENTRADA",'LANÇAMENTOS'!$D$6:$D$1005,$A95))</f>
        <v/>
      </c>
      <c r="F95" s="31">
        <f>IF($A95="","",SUMIFS('LANÇAMENTOS'!$G$6:$G$1005,'LANÇAMENTOS'!$I$6:$I$1005,($A$4*12+5),'LANÇAMENTOS'!$B$6:$B$1005,"ENTRADA",'LANÇAMENTOS'!$D$6:$D$1005,$A95))</f>
        <v/>
      </c>
      <c r="G95" s="31">
        <f>IF($A95="","",SUMIFS('LANÇAMENTOS'!$G$6:$G$1005,'LANÇAMENTOS'!$I$6:$I$1005,($A$4*12+6),'LANÇAMENTOS'!$B$6:$B$1005,"ENTRADA",'LANÇAMENTOS'!$D$6:$D$1005,$A95))</f>
        <v/>
      </c>
      <c r="H95" s="31">
        <f>IF($A95="","",SUMIFS('LANÇAMENTOS'!$G$6:$G$1005,'LANÇAMENTOS'!$I$6:$I$1005,($A$4*12+7),'LANÇAMENTOS'!$B$6:$B$1005,"ENTRADA",'LANÇAMENTOS'!$D$6:$D$1005,$A95))</f>
        <v/>
      </c>
      <c r="I95" s="31">
        <f>IF($A95="","",SUMIFS('LANÇAMENTOS'!$G$6:$G$1005,'LANÇAMENTOS'!$I$6:$I$1005,($A$4*12+8),'LANÇAMENTOS'!$B$6:$B$1005,"ENTRADA",'LANÇAMENTOS'!$D$6:$D$1005,$A95))</f>
        <v/>
      </c>
      <c r="J95" s="31">
        <f>IF($A95="","",SUMIFS('LANÇAMENTOS'!$G$6:$G$1005,'LANÇAMENTOS'!$I$6:$I$1005,($A$4*12+9),'LANÇAMENTOS'!$B$6:$B$1005,"ENTRADA",'LANÇAMENTOS'!$D$6:$D$1005,$A95))</f>
        <v/>
      </c>
      <c r="K95" s="31">
        <f>IF($A95="","",SUMIFS('LANÇAMENTOS'!$G$6:$G$1005,'LANÇAMENTOS'!$I$6:$I$1005,($A$4*12+10),'LANÇAMENTOS'!$B$6:$B$1005,"ENTRADA",'LANÇAMENTOS'!$D$6:$D$1005,$A95))</f>
        <v/>
      </c>
      <c r="L95" s="31">
        <f>IF($A95="","",SUMIFS('LANÇAMENTOS'!$G$6:$G$1005,'LANÇAMENTOS'!$I$6:$I$1005,($A$4*12+11),'LANÇAMENTOS'!$B$6:$B$1005,"ENTRADA",'LANÇAMENTOS'!$D$6:$D$1005,$A95))</f>
        <v/>
      </c>
      <c r="M95" s="31">
        <f>IF($A95="","",SUMIFS('LANÇAMENTOS'!$G$6:$G$1005,'LANÇAMENTOS'!$I$6:$I$1005,($A$4*12+12),'LANÇAMENTOS'!$B$6:$B$1005,"ENTRADA",'LANÇAMENTOS'!$D$6:$D$1005,$A95))</f>
        <v/>
      </c>
      <c r="N95" s="43">
        <f>IF($A95="","",SUM(B95:M95))</f>
        <v/>
      </c>
    </row>
    <row r="96">
      <c r="A96" s="18">
        <f>IF(LISTAS!$B34="ENTRADA",LISTAS!$A34,"")</f>
        <v/>
      </c>
      <c r="B96" s="31">
        <f>IF($A96="","",SUMIFS('LANÇAMENTOS'!$G$6:$G$1005,'LANÇAMENTOS'!$I$6:$I$1005,($A$4*12+1),'LANÇAMENTOS'!$B$6:$B$1005,"ENTRADA",'LANÇAMENTOS'!$D$6:$D$1005,$A96))</f>
        <v/>
      </c>
      <c r="C96" s="31">
        <f>IF($A96="","",SUMIFS('LANÇAMENTOS'!$G$6:$G$1005,'LANÇAMENTOS'!$I$6:$I$1005,($A$4*12+2),'LANÇAMENTOS'!$B$6:$B$1005,"ENTRADA",'LANÇAMENTOS'!$D$6:$D$1005,$A96))</f>
        <v/>
      </c>
      <c r="D96" s="31">
        <f>IF($A96="","",SUMIFS('LANÇAMENTOS'!$G$6:$G$1005,'LANÇAMENTOS'!$I$6:$I$1005,($A$4*12+3),'LANÇAMENTOS'!$B$6:$B$1005,"ENTRADA",'LANÇAMENTOS'!$D$6:$D$1005,$A96))</f>
        <v/>
      </c>
      <c r="E96" s="31">
        <f>IF($A96="","",SUMIFS('LANÇAMENTOS'!$G$6:$G$1005,'LANÇAMENTOS'!$I$6:$I$1005,($A$4*12+4),'LANÇAMENTOS'!$B$6:$B$1005,"ENTRADA",'LANÇAMENTOS'!$D$6:$D$1005,$A96))</f>
        <v/>
      </c>
      <c r="F96" s="31">
        <f>IF($A96="","",SUMIFS('LANÇAMENTOS'!$G$6:$G$1005,'LANÇAMENTOS'!$I$6:$I$1005,($A$4*12+5),'LANÇAMENTOS'!$B$6:$B$1005,"ENTRADA",'LANÇAMENTOS'!$D$6:$D$1005,$A96))</f>
        <v/>
      </c>
      <c r="G96" s="31">
        <f>IF($A96="","",SUMIFS('LANÇAMENTOS'!$G$6:$G$1005,'LANÇAMENTOS'!$I$6:$I$1005,($A$4*12+6),'LANÇAMENTOS'!$B$6:$B$1005,"ENTRADA",'LANÇAMENTOS'!$D$6:$D$1005,$A96))</f>
        <v/>
      </c>
      <c r="H96" s="31">
        <f>IF($A96="","",SUMIFS('LANÇAMENTOS'!$G$6:$G$1005,'LANÇAMENTOS'!$I$6:$I$1005,($A$4*12+7),'LANÇAMENTOS'!$B$6:$B$1005,"ENTRADA",'LANÇAMENTOS'!$D$6:$D$1005,$A96))</f>
        <v/>
      </c>
      <c r="I96" s="31">
        <f>IF($A96="","",SUMIFS('LANÇAMENTOS'!$G$6:$G$1005,'LANÇAMENTOS'!$I$6:$I$1005,($A$4*12+8),'LANÇAMENTOS'!$B$6:$B$1005,"ENTRADA",'LANÇAMENTOS'!$D$6:$D$1005,$A96))</f>
        <v/>
      </c>
      <c r="J96" s="31">
        <f>IF($A96="","",SUMIFS('LANÇAMENTOS'!$G$6:$G$1005,'LANÇAMENTOS'!$I$6:$I$1005,($A$4*12+9),'LANÇAMENTOS'!$B$6:$B$1005,"ENTRADA",'LANÇAMENTOS'!$D$6:$D$1005,$A96))</f>
        <v/>
      </c>
      <c r="K96" s="31">
        <f>IF($A96="","",SUMIFS('LANÇAMENTOS'!$G$6:$G$1005,'LANÇAMENTOS'!$I$6:$I$1005,($A$4*12+10),'LANÇAMENTOS'!$B$6:$B$1005,"ENTRADA",'LANÇAMENTOS'!$D$6:$D$1005,$A96))</f>
        <v/>
      </c>
      <c r="L96" s="31">
        <f>IF($A96="","",SUMIFS('LANÇAMENTOS'!$G$6:$G$1005,'LANÇAMENTOS'!$I$6:$I$1005,($A$4*12+11),'LANÇAMENTOS'!$B$6:$B$1005,"ENTRADA",'LANÇAMENTOS'!$D$6:$D$1005,$A96))</f>
        <v/>
      </c>
      <c r="M96" s="31">
        <f>IF($A96="","",SUMIFS('LANÇAMENTOS'!$G$6:$G$1005,'LANÇAMENTOS'!$I$6:$I$1005,($A$4*12+12),'LANÇAMENTOS'!$B$6:$B$1005,"ENTRADA",'LANÇAMENTOS'!$D$6:$D$1005,$A96))</f>
        <v/>
      </c>
      <c r="N96" s="43">
        <f>IF($A96="","",SUM(B96:M96))</f>
        <v/>
      </c>
    </row>
    <row r="97">
      <c r="A97" s="18">
        <f>IF(LISTAS!$B35="ENTRADA",LISTAS!$A35,"")</f>
        <v/>
      </c>
      <c r="B97" s="31">
        <f>IF($A97="","",SUMIFS('LANÇAMENTOS'!$G$6:$G$1005,'LANÇAMENTOS'!$I$6:$I$1005,($A$4*12+1),'LANÇAMENTOS'!$B$6:$B$1005,"ENTRADA",'LANÇAMENTOS'!$D$6:$D$1005,$A97))</f>
        <v/>
      </c>
      <c r="C97" s="31">
        <f>IF($A97="","",SUMIFS('LANÇAMENTOS'!$G$6:$G$1005,'LANÇAMENTOS'!$I$6:$I$1005,($A$4*12+2),'LANÇAMENTOS'!$B$6:$B$1005,"ENTRADA",'LANÇAMENTOS'!$D$6:$D$1005,$A97))</f>
        <v/>
      </c>
      <c r="D97" s="31">
        <f>IF($A97="","",SUMIFS('LANÇAMENTOS'!$G$6:$G$1005,'LANÇAMENTOS'!$I$6:$I$1005,($A$4*12+3),'LANÇAMENTOS'!$B$6:$B$1005,"ENTRADA",'LANÇAMENTOS'!$D$6:$D$1005,$A97))</f>
        <v/>
      </c>
      <c r="E97" s="31">
        <f>IF($A97="","",SUMIFS('LANÇAMENTOS'!$G$6:$G$1005,'LANÇAMENTOS'!$I$6:$I$1005,($A$4*12+4),'LANÇAMENTOS'!$B$6:$B$1005,"ENTRADA",'LANÇAMENTOS'!$D$6:$D$1005,$A97))</f>
        <v/>
      </c>
      <c r="F97" s="31">
        <f>IF($A97="","",SUMIFS('LANÇAMENTOS'!$G$6:$G$1005,'LANÇAMENTOS'!$I$6:$I$1005,($A$4*12+5),'LANÇAMENTOS'!$B$6:$B$1005,"ENTRADA",'LANÇAMENTOS'!$D$6:$D$1005,$A97))</f>
        <v/>
      </c>
      <c r="G97" s="31">
        <f>IF($A97="","",SUMIFS('LANÇAMENTOS'!$G$6:$G$1005,'LANÇAMENTOS'!$I$6:$I$1005,($A$4*12+6),'LANÇAMENTOS'!$B$6:$B$1005,"ENTRADA",'LANÇAMENTOS'!$D$6:$D$1005,$A97))</f>
        <v/>
      </c>
      <c r="H97" s="31">
        <f>IF($A97="","",SUMIFS('LANÇAMENTOS'!$G$6:$G$1005,'LANÇAMENTOS'!$I$6:$I$1005,($A$4*12+7),'LANÇAMENTOS'!$B$6:$B$1005,"ENTRADA",'LANÇAMENTOS'!$D$6:$D$1005,$A97))</f>
        <v/>
      </c>
      <c r="I97" s="31">
        <f>IF($A97="","",SUMIFS('LANÇAMENTOS'!$G$6:$G$1005,'LANÇAMENTOS'!$I$6:$I$1005,($A$4*12+8),'LANÇAMENTOS'!$B$6:$B$1005,"ENTRADA",'LANÇAMENTOS'!$D$6:$D$1005,$A97))</f>
        <v/>
      </c>
      <c r="J97" s="31">
        <f>IF($A97="","",SUMIFS('LANÇAMENTOS'!$G$6:$G$1005,'LANÇAMENTOS'!$I$6:$I$1005,($A$4*12+9),'LANÇAMENTOS'!$B$6:$B$1005,"ENTRADA",'LANÇAMENTOS'!$D$6:$D$1005,$A97))</f>
        <v/>
      </c>
      <c r="K97" s="31">
        <f>IF($A97="","",SUMIFS('LANÇAMENTOS'!$G$6:$G$1005,'LANÇAMENTOS'!$I$6:$I$1005,($A$4*12+10),'LANÇAMENTOS'!$B$6:$B$1005,"ENTRADA",'LANÇAMENTOS'!$D$6:$D$1005,$A97))</f>
        <v/>
      </c>
      <c r="L97" s="31">
        <f>IF($A97="","",SUMIFS('LANÇAMENTOS'!$G$6:$G$1005,'LANÇAMENTOS'!$I$6:$I$1005,($A$4*12+11),'LANÇAMENTOS'!$B$6:$B$1005,"ENTRADA",'LANÇAMENTOS'!$D$6:$D$1005,$A97))</f>
        <v/>
      </c>
      <c r="M97" s="31">
        <f>IF($A97="","",SUMIFS('LANÇAMENTOS'!$G$6:$G$1005,'LANÇAMENTOS'!$I$6:$I$1005,($A$4*12+12),'LANÇAMENTOS'!$B$6:$B$1005,"ENTRADA",'LANÇAMENTOS'!$D$6:$D$1005,$A97))</f>
        <v/>
      </c>
      <c r="N97" s="43">
        <f>IF($A97="","",SUM(B97:M97))</f>
        <v/>
      </c>
    </row>
    <row r="98">
      <c r="A98" s="18">
        <f>IF(LISTAS!$B36="ENTRADA",LISTAS!$A36,"")</f>
        <v/>
      </c>
      <c r="B98" s="31">
        <f>IF($A98="","",SUMIFS('LANÇAMENTOS'!$G$6:$G$1005,'LANÇAMENTOS'!$I$6:$I$1005,($A$4*12+1),'LANÇAMENTOS'!$B$6:$B$1005,"ENTRADA",'LANÇAMENTOS'!$D$6:$D$1005,$A98))</f>
        <v/>
      </c>
      <c r="C98" s="31">
        <f>IF($A98="","",SUMIFS('LANÇAMENTOS'!$G$6:$G$1005,'LANÇAMENTOS'!$I$6:$I$1005,($A$4*12+2),'LANÇAMENTOS'!$B$6:$B$1005,"ENTRADA",'LANÇAMENTOS'!$D$6:$D$1005,$A98))</f>
        <v/>
      </c>
      <c r="D98" s="31">
        <f>IF($A98="","",SUMIFS('LANÇAMENTOS'!$G$6:$G$1005,'LANÇAMENTOS'!$I$6:$I$1005,($A$4*12+3),'LANÇAMENTOS'!$B$6:$B$1005,"ENTRADA",'LANÇAMENTOS'!$D$6:$D$1005,$A98))</f>
        <v/>
      </c>
      <c r="E98" s="31">
        <f>IF($A98="","",SUMIFS('LANÇAMENTOS'!$G$6:$G$1005,'LANÇAMENTOS'!$I$6:$I$1005,($A$4*12+4),'LANÇAMENTOS'!$B$6:$B$1005,"ENTRADA",'LANÇAMENTOS'!$D$6:$D$1005,$A98))</f>
        <v/>
      </c>
      <c r="F98" s="31">
        <f>IF($A98="","",SUMIFS('LANÇAMENTOS'!$G$6:$G$1005,'LANÇAMENTOS'!$I$6:$I$1005,($A$4*12+5),'LANÇAMENTOS'!$B$6:$B$1005,"ENTRADA",'LANÇAMENTOS'!$D$6:$D$1005,$A98))</f>
        <v/>
      </c>
      <c r="G98" s="31">
        <f>IF($A98="","",SUMIFS('LANÇAMENTOS'!$G$6:$G$1005,'LANÇAMENTOS'!$I$6:$I$1005,($A$4*12+6),'LANÇAMENTOS'!$B$6:$B$1005,"ENTRADA",'LANÇAMENTOS'!$D$6:$D$1005,$A98))</f>
        <v/>
      </c>
      <c r="H98" s="31">
        <f>IF($A98="","",SUMIFS('LANÇAMENTOS'!$G$6:$G$1005,'LANÇAMENTOS'!$I$6:$I$1005,($A$4*12+7),'LANÇAMENTOS'!$B$6:$B$1005,"ENTRADA",'LANÇAMENTOS'!$D$6:$D$1005,$A98))</f>
        <v/>
      </c>
      <c r="I98" s="31">
        <f>IF($A98="","",SUMIFS('LANÇAMENTOS'!$G$6:$G$1005,'LANÇAMENTOS'!$I$6:$I$1005,($A$4*12+8),'LANÇAMENTOS'!$B$6:$B$1005,"ENTRADA",'LANÇAMENTOS'!$D$6:$D$1005,$A98))</f>
        <v/>
      </c>
      <c r="J98" s="31">
        <f>IF($A98="","",SUMIFS('LANÇAMENTOS'!$G$6:$G$1005,'LANÇAMENTOS'!$I$6:$I$1005,($A$4*12+9),'LANÇAMENTOS'!$B$6:$B$1005,"ENTRADA",'LANÇAMENTOS'!$D$6:$D$1005,$A98))</f>
        <v/>
      </c>
      <c r="K98" s="31">
        <f>IF($A98="","",SUMIFS('LANÇAMENTOS'!$G$6:$G$1005,'LANÇAMENTOS'!$I$6:$I$1005,($A$4*12+10),'LANÇAMENTOS'!$B$6:$B$1005,"ENTRADA",'LANÇAMENTOS'!$D$6:$D$1005,$A98))</f>
        <v/>
      </c>
      <c r="L98" s="31">
        <f>IF($A98="","",SUMIFS('LANÇAMENTOS'!$G$6:$G$1005,'LANÇAMENTOS'!$I$6:$I$1005,($A$4*12+11),'LANÇAMENTOS'!$B$6:$B$1005,"ENTRADA",'LANÇAMENTOS'!$D$6:$D$1005,$A98))</f>
        <v/>
      </c>
      <c r="M98" s="31">
        <f>IF($A98="","",SUMIFS('LANÇAMENTOS'!$G$6:$G$1005,'LANÇAMENTOS'!$I$6:$I$1005,($A$4*12+12),'LANÇAMENTOS'!$B$6:$B$1005,"ENTRADA",'LANÇAMENTOS'!$D$6:$D$1005,$A98))</f>
        <v/>
      </c>
      <c r="N98" s="43">
        <f>IF($A98="","",SUM(B98:M98))</f>
        <v/>
      </c>
    </row>
    <row r="99">
      <c r="A99" s="18">
        <f>IF(LISTAS!$B37="ENTRADA",LISTAS!$A37,"")</f>
        <v/>
      </c>
      <c r="B99" s="31">
        <f>IF($A99="","",SUMIFS('LANÇAMENTOS'!$G$6:$G$1005,'LANÇAMENTOS'!$I$6:$I$1005,($A$4*12+1),'LANÇAMENTOS'!$B$6:$B$1005,"ENTRADA",'LANÇAMENTOS'!$D$6:$D$1005,$A99))</f>
        <v/>
      </c>
      <c r="C99" s="31">
        <f>IF($A99="","",SUMIFS('LANÇAMENTOS'!$G$6:$G$1005,'LANÇAMENTOS'!$I$6:$I$1005,($A$4*12+2),'LANÇAMENTOS'!$B$6:$B$1005,"ENTRADA",'LANÇAMENTOS'!$D$6:$D$1005,$A99))</f>
        <v/>
      </c>
      <c r="D99" s="31">
        <f>IF($A99="","",SUMIFS('LANÇAMENTOS'!$G$6:$G$1005,'LANÇAMENTOS'!$I$6:$I$1005,($A$4*12+3),'LANÇAMENTOS'!$B$6:$B$1005,"ENTRADA",'LANÇAMENTOS'!$D$6:$D$1005,$A99))</f>
        <v/>
      </c>
      <c r="E99" s="31">
        <f>IF($A99="","",SUMIFS('LANÇAMENTOS'!$G$6:$G$1005,'LANÇAMENTOS'!$I$6:$I$1005,($A$4*12+4),'LANÇAMENTOS'!$B$6:$B$1005,"ENTRADA",'LANÇAMENTOS'!$D$6:$D$1005,$A99))</f>
        <v/>
      </c>
      <c r="F99" s="31">
        <f>IF($A99="","",SUMIFS('LANÇAMENTOS'!$G$6:$G$1005,'LANÇAMENTOS'!$I$6:$I$1005,($A$4*12+5),'LANÇAMENTOS'!$B$6:$B$1005,"ENTRADA",'LANÇAMENTOS'!$D$6:$D$1005,$A99))</f>
        <v/>
      </c>
      <c r="G99" s="31">
        <f>IF($A99="","",SUMIFS('LANÇAMENTOS'!$G$6:$G$1005,'LANÇAMENTOS'!$I$6:$I$1005,($A$4*12+6),'LANÇAMENTOS'!$B$6:$B$1005,"ENTRADA",'LANÇAMENTOS'!$D$6:$D$1005,$A99))</f>
        <v/>
      </c>
      <c r="H99" s="31">
        <f>IF($A99="","",SUMIFS('LANÇAMENTOS'!$G$6:$G$1005,'LANÇAMENTOS'!$I$6:$I$1005,($A$4*12+7),'LANÇAMENTOS'!$B$6:$B$1005,"ENTRADA",'LANÇAMENTOS'!$D$6:$D$1005,$A99))</f>
        <v/>
      </c>
      <c r="I99" s="31">
        <f>IF($A99="","",SUMIFS('LANÇAMENTOS'!$G$6:$G$1005,'LANÇAMENTOS'!$I$6:$I$1005,($A$4*12+8),'LANÇAMENTOS'!$B$6:$B$1005,"ENTRADA",'LANÇAMENTOS'!$D$6:$D$1005,$A99))</f>
        <v/>
      </c>
      <c r="J99" s="31">
        <f>IF($A99="","",SUMIFS('LANÇAMENTOS'!$G$6:$G$1005,'LANÇAMENTOS'!$I$6:$I$1005,($A$4*12+9),'LANÇAMENTOS'!$B$6:$B$1005,"ENTRADA",'LANÇAMENTOS'!$D$6:$D$1005,$A99))</f>
        <v/>
      </c>
      <c r="K99" s="31">
        <f>IF($A99="","",SUMIFS('LANÇAMENTOS'!$G$6:$G$1005,'LANÇAMENTOS'!$I$6:$I$1005,($A$4*12+10),'LANÇAMENTOS'!$B$6:$B$1005,"ENTRADA",'LANÇAMENTOS'!$D$6:$D$1005,$A99))</f>
        <v/>
      </c>
      <c r="L99" s="31">
        <f>IF($A99="","",SUMIFS('LANÇAMENTOS'!$G$6:$G$1005,'LANÇAMENTOS'!$I$6:$I$1005,($A$4*12+11),'LANÇAMENTOS'!$B$6:$B$1005,"ENTRADA",'LANÇAMENTOS'!$D$6:$D$1005,$A99))</f>
        <v/>
      </c>
      <c r="M99" s="31">
        <f>IF($A99="","",SUMIFS('LANÇAMENTOS'!$G$6:$G$1005,'LANÇAMENTOS'!$I$6:$I$1005,($A$4*12+12),'LANÇAMENTOS'!$B$6:$B$1005,"ENTRADA",'LANÇAMENTOS'!$D$6:$D$1005,$A99))</f>
        <v/>
      </c>
      <c r="N99" s="43">
        <f>IF($A99="","",SUM(B99:M99))</f>
        <v/>
      </c>
    </row>
    <row r="100">
      <c r="A100" s="18">
        <f>IF(LISTAS!$B38="ENTRADA",LISTAS!$A38,"")</f>
        <v/>
      </c>
      <c r="B100" s="31">
        <f>IF($A100="","",SUMIFS('LANÇAMENTOS'!$G$6:$G$1005,'LANÇAMENTOS'!$I$6:$I$1005,($A$4*12+1),'LANÇAMENTOS'!$B$6:$B$1005,"ENTRADA",'LANÇAMENTOS'!$D$6:$D$1005,$A100))</f>
        <v/>
      </c>
      <c r="C100" s="31">
        <f>IF($A100="","",SUMIFS('LANÇAMENTOS'!$G$6:$G$1005,'LANÇAMENTOS'!$I$6:$I$1005,($A$4*12+2),'LANÇAMENTOS'!$B$6:$B$1005,"ENTRADA",'LANÇAMENTOS'!$D$6:$D$1005,$A100))</f>
        <v/>
      </c>
      <c r="D100" s="31">
        <f>IF($A100="","",SUMIFS('LANÇAMENTOS'!$G$6:$G$1005,'LANÇAMENTOS'!$I$6:$I$1005,($A$4*12+3),'LANÇAMENTOS'!$B$6:$B$1005,"ENTRADA",'LANÇAMENTOS'!$D$6:$D$1005,$A100))</f>
        <v/>
      </c>
      <c r="E100" s="31">
        <f>IF($A100="","",SUMIFS('LANÇAMENTOS'!$G$6:$G$1005,'LANÇAMENTOS'!$I$6:$I$1005,($A$4*12+4),'LANÇAMENTOS'!$B$6:$B$1005,"ENTRADA",'LANÇAMENTOS'!$D$6:$D$1005,$A100))</f>
        <v/>
      </c>
      <c r="F100" s="31">
        <f>IF($A100="","",SUMIFS('LANÇAMENTOS'!$G$6:$G$1005,'LANÇAMENTOS'!$I$6:$I$1005,($A$4*12+5),'LANÇAMENTOS'!$B$6:$B$1005,"ENTRADA",'LANÇAMENTOS'!$D$6:$D$1005,$A100))</f>
        <v/>
      </c>
      <c r="G100" s="31">
        <f>IF($A100="","",SUMIFS('LANÇAMENTOS'!$G$6:$G$1005,'LANÇAMENTOS'!$I$6:$I$1005,($A$4*12+6),'LANÇAMENTOS'!$B$6:$B$1005,"ENTRADA",'LANÇAMENTOS'!$D$6:$D$1005,$A100))</f>
        <v/>
      </c>
      <c r="H100" s="31">
        <f>IF($A100="","",SUMIFS('LANÇAMENTOS'!$G$6:$G$1005,'LANÇAMENTOS'!$I$6:$I$1005,($A$4*12+7),'LANÇAMENTOS'!$B$6:$B$1005,"ENTRADA",'LANÇAMENTOS'!$D$6:$D$1005,$A100))</f>
        <v/>
      </c>
      <c r="I100" s="31">
        <f>IF($A100="","",SUMIFS('LANÇAMENTOS'!$G$6:$G$1005,'LANÇAMENTOS'!$I$6:$I$1005,($A$4*12+8),'LANÇAMENTOS'!$B$6:$B$1005,"ENTRADA",'LANÇAMENTOS'!$D$6:$D$1005,$A100))</f>
        <v/>
      </c>
      <c r="J100" s="31">
        <f>IF($A100="","",SUMIFS('LANÇAMENTOS'!$G$6:$G$1005,'LANÇAMENTOS'!$I$6:$I$1005,($A$4*12+9),'LANÇAMENTOS'!$B$6:$B$1005,"ENTRADA",'LANÇAMENTOS'!$D$6:$D$1005,$A100))</f>
        <v/>
      </c>
      <c r="K100" s="31">
        <f>IF($A100="","",SUMIFS('LANÇAMENTOS'!$G$6:$G$1005,'LANÇAMENTOS'!$I$6:$I$1005,($A$4*12+10),'LANÇAMENTOS'!$B$6:$B$1005,"ENTRADA",'LANÇAMENTOS'!$D$6:$D$1005,$A100))</f>
        <v/>
      </c>
      <c r="L100" s="31">
        <f>IF($A100="","",SUMIFS('LANÇAMENTOS'!$G$6:$G$1005,'LANÇAMENTOS'!$I$6:$I$1005,($A$4*12+11),'LANÇAMENTOS'!$B$6:$B$1005,"ENTRADA",'LANÇAMENTOS'!$D$6:$D$1005,$A100))</f>
        <v/>
      </c>
      <c r="M100" s="31">
        <f>IF($A100="","",SUMIFS('LANÇAMENTOS'!$G$6:$G$1005,'LANÇAMENTOS'!$I$6:$I$1005,($A$4*12+12),'LANÇAMENTOS'!$B$6:$B$1005,"ENTRADA",'LANÇAMENTOS'!$D$6:$D$1005,$A100))</f>
        <v/>
      </c>
      <c r="N100" s="43">
        <f>IF($A100="","",SUM(B100:M100))</f>
        <v/>
      </c>
    </row>
    <row r="101">
      <c r="A101" s="18">
        <f>IF(LISTAS!$B39="ENTRADA",LISTAS!$A39,"")</f>
        <v/>
      </c>
      <c r="B101" s="31">
        <f>IF($A101="","",SUMIFS('LANÇAMENTOS'!$G$6:$G$1005,'LANÇAMENTOS'!$I$6:$I$1005,($A$4*12+1),'LANÇAMENTOS'!$B$6:$B$1005,"ENTRADA",'LANÇAMENTOS'!$D$6:$D$1005,$A101))</f>
        <v/>
      </c>
      <c r="C101" s="31">
        <f>IF($A101="","",SUMIFS('LANÇAMENTOS'!$G$6:$G$1005,'LANÇAMENTOS'!$I$6:$I$1005,($A$4*12+2),'LANÇAMENTOS'!$B$6:$B$1005,"ENTRADA",'LANÇAMENTOS'!$D$6:$D$1005,$A101))</f>
        <v/>
      </c>
      <c r="D101" s="31">
        <f>IF($A101="","",SUMIFS('LANÇAMENTOS'!$G$6:$G$1005,'LANÇAMENTOS'!$I$6:$I$1005,($A$4*12+3),'LANÇAMENTOS'!$B$6:$B$1005,"ENTRADA",'LANÇAMENTOS'!$D$6:$D$1005,$A101))</f>
        <v/>
      </c>
      <c r="E101" s="31">
        <f>IF($A101="","",SUMIFS('LANÇAMENTOS'!$G$6:$G$1005,'LANÇAMENTOS'!$I$6:$I$1005,($A$4*12+4),'LANÇAMENTOS'!$B$6:$B$1005,"ENTRADA",'LANÇAMENTOS'!$D$6:$D$1005,$A101))</f>
        <v/>
      </c>
      <c r="F101" s="31">
        <f>IF($A101="","",SUMIFS('LANÇAMENTOS'!$G$6:$G$1005,'LANÇAMENTOS'!$I$6:$I$1005,($A$4*12+5),'LANÇAMENTOS'!$B$6:$B$1005,"ENTRADA",'LANÇAMENTOS'!$D$6:$D$1005,$A101))</f>
        <v/>
      </c>
      <c r="G101" s="31">
        <f>IF($A101="","",SUMIFS('LANÇAMENTOS'!$G$6:$G$1005,'LANÇAMENTOS'!$I$6:$I$1005,($A$4*12+6),'LANÇAMENTOS'!$B$6:$B$1005,"ENTRADA",'LANÇAMENTOS'!$D$6:$D$1005,$A101))</f>
        <v/>
      </c>
      <c r="H101" s="31">
        <f>IF($A101="","",SUMIFS('LANÇAMENTOS'!$G$6:$G$1005,'LANÇAMENTOS'!$I$6:$I$1005,($A$4*12+7),'LANÇAMENTOS'!$B$6:$B$1005,"ENTRADA",'LANÇAMENTOS'!$D$6:$D$1005,$A101))</f>
        <v/>
      </c>
      <c r="I101" s="31">
        <f>IF($A101="","",SUMIFS('LANÇAMENTOS'!$G$6:$G$1005,'LANÇAMENTOS'!$I$6:$I$1005,($A$4*12+8),'LANÇAMENTOS'!$B$6:$B$1005,"ENTRADA",'LANÇAMENTOS'!$D$6:$D$1005,$A101))</f>
        <v/>
      </c>
      <c r="J101" s="31">
        <f>IF($A101="","",SUMIFS('LANÇAMENTOS'!$G$6:$G$1005,'LANÇAMENTOS'!$I$6:$I$1005,($A$4*12+9),'LANÇAMENTOS'!$B$6:$B$1005,"ENTRADA",'LANÇAMENTOS'!$D$6:$D$1005,$A101))</f>
        <v/>
      </c>
      <c r="K101" s="31">
        <f>IF($A101="","",SUMIFS('LANÇAMENTOS'!$G$6:$G$1005,'LANÇAMENTOS'!$I$6:$I$1005,($A$4*12+10),'LANÇAMENTOS'!$B$6:$B$1005,"ENTRADA",'LANÇAMENTOS'!$D$6:$D$1005,$A101))</f>
        <v/>
      </c>
      <c r="L101" s="31">
        <f>IF($A101="","",SUMIFS('LANÇAMENTOS'!$G$6:$G$1005,'LANÇAMENTOS'!$I$6:$I$1005,($A$4*12+11),'LANÇAMENTOS'!$B$6:$B$1005,"ENTRADA",'LANÇAMENTOS'!$D$6:$D$1005,$A101))</f>
        <v/>
      </c>
      <c r="M101" s="31">
        <f>IF($A101="","",SUMIFS('LANÇAMENTOS'!$G$6:$G$1005,'LANÇAMENTOS'!$I$6:$I$1005,($A$4*12+12),'LANÇAMENTOS'!$B$6:$B$1005,"ENTRADA",'LANÇAMENTOS'!$D$6:$D$1005,$A101))</f>
        <v/>
      </c>
      <c r="N101" s="43">
        <f>IF($A101="","",SUM(B101:M101))</f>
        <v/>
      </c>
    </row>
    <row r="102">
      <c r="A102" s="18">
        <f>IF(LISTAS!$B40="ENTRADA",LISTAS!$A40,"")</f>
        <v/>
      </c>
      <c r="B102" s="31">
        <f>IF($A102="","",SUMIFS('LANÇAMENTOS'!$G$6:$G$1005,'LANÇAMENTOS'!$I$6:$I$1005,($A$4*12+1),'LANÇAMENTOS'!$B$6:$B$1005,"ENTRADA",'LANÇAMENTOS'!$D$6:$D$1005,$A102))</f>
        <v/>
      </c>
      <c r="C102" s="31">
        <f>IF($A102="","",SUMIFS('LANÇAMENTOS'!$G$6:$G$1005,'LANÇAMENTOS'!$I$6:$I$1005,($A$4*12+2),'LANÇAMENTOS'!$B$6:$B$1005,"ENTRADA",'LANÇAMENTOS'!$D$6:$D$1005,$A102))</f>
        <v/>
      </c>
      <c r="D102" s="31">
        <f>IF($A102="","",SUMIFS('LANÇAMENTOS'!$G$6:$G$1005,'LANÇAMENTOS'!$I$6:$I$1005,($A$4*12+3),'LANÇAMENTOS'!$B$6:$B$1005,"ENTRADA",'LANÇAMENTOS'!$D$6:$D$1005,$A102))</f>
        <v/>
      </c>
      <c r="E102" s="31">
        <f>IF($A102="","",SUMIFS('LANÇAMENTOS'!$G$6:$G$1005,'LANÇAMENTOS'!$I$6:$I$1005,($A$4*12+4),'LANÇAMENTOS'!$B$6:$B$1005,"ENTRADA",'LANÇAMENTOS'!$D$6:$D$1005,$A102))</f>
        <v/>
      </c>
      <c r="F102" s="31">
        <f>IF($A102="","",SUMIFS('LANÇAMENTOS'!$G$6:$G$1005,'LANÇAMENTOS'!$I$6:$I$1005,($A$4*12+5),'LANÇAMENTOS'!$B$6:$B$1005,"ENTRADA",'LANÇAMENTOS'!$D$6:$D$1005,$A102))</f>
        <v/>
      </c>
      <c r="G102" s="31">
        <f>IF($A102="","",SUMIFS('LANÇAMENTOS'!$G$6:$G$1005,'LANÇAMENTOS'!$I$6:$I$1005,($A$4*12+6),'LANÇAMENTOS'!$B$6:$B$1005,"ENTRADA",'LANÇAMENTOS'!$D$6:$D$1005,$A102))</f>
        <v/>
      </c>
      <c r="H102" s="31">
        <f>IF($A102="","",SUMIFS('LANÇAMENTOS'!$G$6:$G$1005,'LANÇAMENTOS'!$I$6:$I$1005,($A$4*12+7),'LANÇAMENTOS'!$B$6:$B$1005,"ENTRADA",'LANÇAMENTOS'!$D$6:$D$1005,$A102))</f>
        <v/>
      </c>
      <c r="I102" s="31">
        <f>IF($A102="","",SUMIFS('LANÇAMENTOS'!$G$6:$G$1005,'LANÇAMENTOS'!$I$6:$I$1005,($A$4*12+8),'LANÇAMENTOS'!$B$6:$B$1005,"ENTRADA",'LANÇAMENTOS'!$D$6:$D$1005,$A102))</f>
        <v/>
      </c>
      <c r="J102" s="31">
        <f>IF($A102="","",SUMIFS('LANÇAMENTOS'!$G$6:$G$1005,'LANÇAMENTOS'!$I$6:$I$1005,($A$4*12+9),'LANÇAMENTOS'!$B$6:$B$1005,"ENTRADA",'LANÇAMENTOS'!$D$6:$D$1005,$A102))</f>
        <v/>
      </c>
      <c r="K102" s="31">
        <f>IF($A102="","",SUMIFS('LANÇAMENTOS'!$G$6:$G$1005,'LANÇAMENTOS'!$I$6:$I$1005,($A$4*12+10),'LANÇAMENTOS'!$B$6:$B$1005,"ENTRADA",'LANÇAMENTOS'!$D$6:$D$1005,$A102))</f>
        <v/>
      </c>
      <c r="L102" s="31">
        <f>IF($A102="","",SUMIFS('LANÇAMENTOS'!$G$6:$G$1005,'LANÇAMENTOS'!$I$6:$I$1005,($A$4*12+11),'LANÇAMENTOS'!$B$6:$B$1005,"ENTRADA",'LANÇAMENTOS'!$D$6:$D$1005,$A102))</f>
        <v/>
      </c>
      <c r="M102" s="31">
        <f>IF($A102="","",SUMIFS('LANÇAMENTOS'!$G$6:$G$1005,'LANÇAMENTOS'!$I$6:$I$1005,($A$4*12+12),'LANÇAMENTOS'!$B$6:$B$1005,"ENTRADA",'LANÇAMENTOS'!$D$6:$D$1005,$A102))</f>
        <v/>
      </c>
      <c r="N102" s="43">
        <f>IF($A102="","",SUM(B102:M102))</f>
        <v/>
      </c>
    </row>
    <row r="103">
      <c r="A103" s="18">
        <f>IF(LISTAS!$B41="ENTRADA",LISTAS!$A41,"")</f>
        <v/>
      </c>
      <c r="B103" s="31">
        <f>IF($A103="","",SUMIFS('LANÇAMENTOS'!$G$6:$G$1005,'LANÇAMENTOS'!$I$6:$I$1005,($A$4*12+1),'LANÇAMENTOS'!$B$6:$B$1005,"ENTRADA",'LANÇAMENTOS'!$D$6:$D$1005,$A103))</f>
        <v/>
      </c>
      <c r="C103" s="31">
        <f>IF($A103="","",SUMIFS('LANÇAMENTOS'!$G$6:$G$1005,'LANÇAMENTOS'!$I$6:$I$1005,($A$4*12+2),'LANÇAMENTOS'!$B$6:$B$1005,"ENTRADA",'LANÇAMENTOS'!$D$6:$D$1005,$A103))</f>
        <v/>
      </c>
      <c r="D103" s="31">
        <f>IF($A103="","",SUMIFS('LANÇAMENTOS'!$G$6:$G$1005,'LANÇAMENTOS'!$I$6:$I$1005,($A$4*12+3),'LANÇAMENTOS'!$B$6:$B$1005,"ENTRADA",'LANÇAMENTOS'!$D$6:$D$1005,$A103))</f>
        <v/>
      </c>
      <c r="E103" s="31">
        <f>IF($A103="","",SUMIFS('LANÇAMENTOS'!$G$6:$G$1005,'LANÇAMENTOS'!$I$6:$I$1005,($A$4*12+4),'LANÇAMENTOS'!$B$6:$B$1005,"ENTRADA",'LANÇAMENTOS'!$D$6:$D$1005,$A103))</f>
        <v/>
      </c>
      <c r="F103" s="31">
        <f>IF($A103="","",SUMIFS('LANÇAMENTOS'!$G$6:$G$1005,'LANÇAMENTOS'!$I$6:$I$1005,($A$4*12+5),'LANÇAMENTOS'!$B$6:$B$1005,"ENTRADA",'LANÇAMENTOS'!$D$6:$D$1005,$A103))</f>
        <v/>
      </c>
      <c r="G103" s="31">
        <f>IF($A103="","",SUMIFS('LANÇAMENTOS'!$G$6:$G$1005,'LANÇAMENTOS'!$I$6:$I$1005,($A$4*12+6),'LANÇAMENTOS'!$B$6:$B$1005,"ENTRADA",'LANÇAMENTOS'!$D$6:$D$1005,$A103))</f>
        <v/>
      </c>
      <c r="H103" s="31">
        <f>IF($A103="","",SUMIFS('LANÇAMENTOS'!$G$6:$G$1005,'LANÇAMENTOS'!$I$6:$I$1005,($A$4*12+7),'LANÇAMENTOS'!$B$6:$B$1005,"ENTRADA",'LANÇAMENTOS'!$D$6:$D$1005,$A103))</f>
        <v/>
      </c>
      <c r="I103" s="31">
        <f>IF($A103="","",SUMIFS('LANÇAMENTOS'!$G$6:$G$1005,'LANÇAMENTOS'!$I$6:$I$1005,($A$4*12+8),'LANÇAMENTOS'!$B$6:$B$1005,"ENTRADA",'LANÇAMENTOS'!$D$6:$D$1005,$A103))</f>
        <v/>
      </c>
      <c r="J103" s="31">
        <f>IF($A103="","",SUMIFS('LANÇAMENTOS'!$G$6:$G$1005,'LANÇAMENTOS'!$I$6:$I$1005,($A$4*12+9),'LANÇAMENTOS'!$B$6:$B$1005,"ENTRADA",'LANÇAMENTOS'!$D$6:$D$1005,$A103))</f>
        <v/>
      </c>
      <c r="K103" s="31">
        <f>IF($A103="","",SUMIFS('LANÇAMENTOS'!$G$6:$G$1005,'LANÇAMENTOS'!$I$6:$I$1005,($A$4*12+10),'LANÇAMENTOS'!$B$6:$B$1005,"ENTRADA",'LANÇAMENTOS'!$D$6:$D$1005,$A103))</f>
        <v/>
      </c>
      <c r="L103" s="31">
        <f>IF($A103="","",SUMIFS('LANÇAMENTOS'!$G$6:$G$1005,'LANÇAMENTOS'!$I$6:$I$1005,($A$4*12+11),'LANÇAMENTOS'!$B$6:$B$1005,"ENTRADA",'LANÇAMENTOS'!$D$6:$D$1005,$A103))</f>
        <v/>
      </c>
      <c r="M103" s="31">
        <f>IF($A103="","",SUMIFS('LANÇAMENTOS'!$G$6:$G$1005,'LANÇAMENTOS'!$I$6:$I$1005,($A$4*12+12),'LANÇAMENTOS'!$B$6:$B$1005,"ENTRADA",'LANÇAMENTOS'!$D$6:$D$1005,$A103))</f>
        <v/>
      </c>
      <c r="N103" s="43">
        <f>IF($A103="","",SUM(B103:M103))</f>
        <v/>
      </c>
    </row>
    <row r="104">
      <c r="A104" s="18">
        <f>IF(LISTAS!$B42="ENTRADA",LISTAS!$A42,"")</f>
        <v/>
      </c>
      <c r="B104" s="31">
        <f>IF($A104="","",SUMIFS('LANÇAMENTOS'!$G$6:$G$1005,'LANÇAMENTOS'!$I$6:$I$1005,($A$4*12+1),'LANÇAMENTOS'!$B$6:$B$1005,"ENTRADA",'LANÇAMENTOS'!$D$6:$D$1005,$A104))</f>
        <v/>
      </c>
      <c r="C104" s="31">
        <f>IF($A104="","",SUMIFS('LANÇAMENTOS'!$G$6:$G$1005,'LANÇAMENTOS'!$I$6:$I$1005,($A$4*12+2),'LANÇAMENTOS'!$B$6:$B$1005,"ENTRADA",'LANÇAMENTOS'!$D$6:$D$1005,$A104))</f>
        <v/>
      </c>
      <c r="D104" s="31">
        <f>IF($A104="","",SUMIFS('LANÇAMENTOS'!$G$6:$G$1005,'LANÇAMENTOS'!$I$6:$I$1005,($A$4*12+3),'LANÇAMENTOS'!$B$6:$B$1005,"ENTRADA",'LANÇAMENTOS'!$D$6:$D$1005,$A104))</f>
        <v/>
      </c>
      <c r="E104" s="31">
        <f>IF($A104="","",SUMIFS('LANÇAMENTOS'!$G$6:$G$1005,'LANÇAMENTOS'!$I$6:$I$1005,($A$4*12+4),'LANÇAMENTOS'!$B$6:$B$1005,"ENTRADA",'LANÇAMENTOS'!$D$6:$D$1005,$A104))</f>
        <v/>
      </c>
      <c r="F104" s="31">
        <f>IF($A104="","",SUMIFS('LANÇAMENTOS'!$G$6:$G$1005,'LANÇAMENTOS'!$I$6:$I$1005,($A$4*12+5),'LANÇAMENTOS'!$B$6:$B$1005,"ENTRADA",'LANÇAMENTOS'!$D$6:$D$1005,$A104))</f>
        <v/>
      </c>
      <c r="G104" s="31">
        <f>IF($A104="","",SUMIFS('LANÇAMENTOS'!$G$6:$G$1005,'LANÇAMENTOS'!$I$6:$I$1005,($A$4*12+6),'LANÇAMENTOS'!$B$6:$B$1005,"ENTRADA",'LANÇAMENTOS'!$D$6:$D$1005,$A104))</f>
        <v/>
      </c>
      <c r="H104" s="31">
        <f>IF($A104="","",SUMIFS('LANÇAMENTOS'!$G$6:$G$1005,'LANÇAMENTOS'!$I$6:$I$1005,($A$4*12+7),'LANÇAMENTOS'!$B$6:$B$1005,"ENTRADA",'LANÇAMENTOS'!$D$6:$D$1005,$A104))</f>
        <v/>
      </c>
      <c r="I104" s="31">
        <f>IF($A104="","",SUMIFS('LANÇAMENTOS'!$G$6:$G$1005,'LANÇAMENTOS'!$I$6:$I$1005,($A$4*12+8),'LANÇAMENTOS'!$B$6:$B$1005,"ENTRADA",'LANÇAMENTOS'!$D$6:$D$1005,$A104))</f>
        <v/>
      </c>
      <c r="J104" s="31">
        <f>IF($A104="","",SUMIFS('LANÇAMENTOS'!$G$6:$G$1005,'LANÇAMENTOS'!$I$6:$I$1005,($A$4*12+9),'LANÇAMENTOS'!$B$6:$B$1005,"ENTRADA",'LANÇAMENTOS'!$D$6:$D$1005,$A104))</f>
        <v/>
      </c>
      <c r="K104" s="31">
        <f>IF($A104="","",SUMIFS('LANÇAMENTOS'!$G$6:$G$1005,'LANÇAMENTOS'!$I$6:$I$1005,($A$4*12+10),'LANÇAMENTOS'!$B$6:$B$1005,"ENTRADA",'LANÇAMENTOS'!$D$6:$D$1005,$A104))</f>
        <v/>
      </c>
      <c r="L104" s="31">
        <f>IF($A104="","",SUMIFS('LANÇAMENTOS'!$G$6:$G$1005,'LANÇAMENTOS'!$I$6:$I$1005,($A$4*12+11),'LANÇAMENTOS'!$B$6:$B$1005,"ENTRADA",'LANÇAMENTOS'!$D$6:$D$1005,$A104))</f>
        <v/>
      </c>
      <c r="M104" s="31">
        <f>IF($A104="","",SUMIFS('LANÇAMENTOS'!$G$6:$G$1005,'LANÇAMENTOS'!$I$6:$I$1005,($A$4*12+12),'LANÇAMENTOS'!$B$6:$B$1005,"ENTRADA",'LANÇAMENTOS'!$D$6:$D$1005,$A104))</f>
        <v/>
      </c>
      <c r="N104" s="43">
        <f>IF($A104="","",SUM(B104:M104))</f>
        <v/>
      </c>
    </row>
    <row r="105">
      <c r="A105" s="18">
        <f>IF(LISTAS!$B43="ENTRADA",LISTAS!$A43,"")</f>
        <v/>
      </c>
      <c r="B105" s="31">
        <f>IF($A105="","",SUMIFS('LANÇAMENTOS'!$G$6:$G$1005,'LANÇAMENTOS'!$I$6:$I$1005,($A$4*12+1),'LANÇAMENTOS'!$B$6:$B$1005,"ENTRADA",'LANÇAMENTOS'!$D$6:$D$1005,$A105))</f>
        <v/>
      </c>
      <c r="C105" s="31">
        <f>IF($A105="","",SUMIFS('LANÇAMENTOS'!$G$6:$G$1005,'LANÇAMENTOS'!$I$6:$I$1005,($A$4*12+2),'LANÇAMENTOS'!$B$6:$B$1005,"ENTRADA",'LANÇAMENTOS'!$D$6:$D$1005,$A105))</f>
        <v/>
      </c>
      <c r="D105" s="31">
        <f>IF($A105="","",SUMIFS('LANÇAMENTOS'!$G$6:$G$1005,'LANÇAMENTOS'!$I$6:$I$1005,($A$4*12+3),'LANÇAMENTOS'!$B$6:$B$1005,"ENTRADA",'LANÇAMENTOS'!$D$6:$D$1005,$A105))</f>
        <v/>
      </c>
      <c r="E105" s="31">
        <f>IF($A105="","",SUMIFS('LANÇAMENTOS'!$G$6:$G$1005,'LANÇAMENTOS'!$I$6:$I$1005,($A$4*12+4),'LANÇAMENTOS'!$B$6:$B$1005,"ENTRADA",'LANÇAMENTOS'!$D$6:$D$1005,$A105))</f>
        <v/>
      </c>
      <c r="F105" s="31">
        <f>IF($A105="","",SUMIFS('LANÇAMENTOS'!$G$6:$G$1005,'LANÇAMENTOS'!$I$6:$I$1005,($A$4*12+5),'LANÇAMENTOS'!$B$6:$B$1005,"ENTRADA",'LANÇAMENTOS'!$D$6:$D$1005,$A105))</f>
        <v/>
      </c>
      <c r="G105" s="31">
        <f>IF($A105="","",SUMIFS('LANÇAMENTOS'!$G$6:$G$1005,'LANÇAMENTOS'!$I$6:$I$1005,($A$4*12+6),'LANÇAMENTOS'!$B$6:$B$1005,"ENTRADA",'LANÇAMENTOS'!$D$6:$D$1005,$A105))</f>
        <v/>
      </c>
      <c r="H105" s="31">
        <f>IF($A105="","",SUMIFS('LANÇAMENTOS'!$G$6:$G$1005,'LANÇAMENTOS'!$I$6:$I$1005,($A$4*12+7),'LANÇAMENTOS'!$B$6:$B$1005,"ENTRADA",'LANÇAMENTOS'!$D$6:$D$1005,$A105))</f>
        <v/>
      </c>
      <c r="I105" s="31">
        <f>IF($A105="","",SUMIFS('LANÇAMENTOS'!$G$6:$G$1005,'LANÇAMENTOS'!$I$6:$I$1005,($A$4*12+8),'LANÇAMENTOS'!$B$6:$B$1005,"ENTRADA",'LANÇAMENTOS'!$D$6:$D$1005,$A105))</f>
        <v/>
      </c>
      <c r="J105" s="31">
        <f>IF($A105="","",SUMIFS('LANÇAMENTOS'!$G$6:$G$1005,'LANÇAMENTOS'!$I$6:$I$1005,($A$4*12+9),'LANÇAMENTOS'!$B$6:$B$1005,"ENTRADA",'LANÇAMENTOS'!$D$6:$D$1005,$A105))</f>
        <v/>
      </c>
      <c r="K105" s="31">
        <f>IF($A105="","",SUMIFS('LANÇAMENTOS'!$G$6:$G$1005,'LANÇAMENTOS'!$I$6:$I$1005,($A$4*12+10),'LANÇAMENTOS'!$B$6:$B$1005,"ENTRADA",'LANÇAMENTOS'!$D$6:$D$1005,$A105))</f>
        <v/>
      </c>
      <c r="L105" s="31">
        <f>IF($A105="","",SUMIFS('LANÇAMENTOS'!$G$6:$G$1005,'LANÇAMENTOS'!$I$6:$I$1005,($A$4*12+11),'LANÇAMENTOS'!$B$6:$B$1005,"ENTRADA",'LANÇAMENTOS'!$D$6:$D$1005,$A105))</f>
        <v/>
      </c>
      <c r="M105" s="31">
        <f>IF($A105="","",SUMIFS('LANÇAMENTOS'!$G$6:$G$1005,'LANÇAMENTOS'!$I$6:$I$1005,($A$4*12+12),'LANÇAMENTOS'!$B$6:$B$1005,"ENTRADA",'LANÇAMENTOS'!$D$6:$D$1005,$A105))</f>
        <v/>
      </c>
      <c r="N105" s="43">
        <f>IF($A105="","",SUM(B105:M105))</f>
        <v/>
      </c>
    </row>
    <row r="106">
      <c r="A106" s="18">
        <f>IF(LISTAS!$B44="ENTRADA",LISTAS!$A44,"")</f>
        <v/>
      </c>
      <c r="B106" s="31">
        <f>IF($A106="","",SUMIFS('LANÇAMENTOS'!$G$6:$G$1005,'LANÇAMENTOS'!$I$6:$I$1005,($A$4*12+1),'LANÇAMENTOS'!$B$6:$B$1005,"ENTRADA",'LANÇAMENTOS'!$D$6:$D$1005,$A106))</f>
        <v/>
      </c>
      <c r="C106" s="31">
        <f>IF($A106="","",SUMIFS('LANÇAMENTOS'!$G$6:$G$1005,'LANÇAMENTOS'!$I$6:$I$1005,($A$4*12+2),'LANÇAMENTOS'!$B$6:$B$1005,"ENTRADA",'LANÇAMENTOS'!$D$6:$D$1005,$A106))</f>
        <v/>
      </c>
      <c r="D106" s="31">
        <f>IF($A106="","",SUMIFS('LANÇAMENTOS'!$G$6:$G$1005,'LANÇAMENTOS'!$I$6:$I$1005,($A$4*12+3),'LANÇAMENTOS'!$B$6:$B$1005,"ENTRADA",'LANÇAMENTOS'!$D$6:$D$1005,$A106))</f>
        <v/>
      </c>
      <c r="E106" s="31">
        <f>IF($A106="","",SUMIFS('LANÇAMENTOS'!$G$6:$G$1005,'LANÇAMENTOS'!$I$6:$I$1005,($A$4*12+4),'LANÇAMENTOS'!$B$6:$B$1005,"ENTRADA",'LANÇAMENTOS'!$D$6:$D$1005,$A106))</f>
        <v/>
      </c>
      <c r="F106" s="31">
        <f>IF($A106="","",SUMIFS('LANÇAMENTOS'!$G$6:$G$1005,'LANÇAMENTOS'!$I$6:$I$1005,($A$4*12+5),'LANÇAMENTOS'!$B$6:$B$1005,"ENTRADA",'LANÇAMENTOS'!$D$6:$D$1005,$A106))</f>
        <v/>
      </c>
      <c r="G106" s="31">
        <f>IF($A106="","",SUMIFS('LANÇAMENTOS'!$G$6:$G$1005,'LANÇAMENTOS'!$I$6:$I$1005,($A$4*12+6),'LANÇAMENTOS'!$B$6:$B$1005,"ENTRADA",'LANÇAMENTOS'!$D$6:$D$1005,$A106))</f>
        <v/>
      </c>
      <c r="H106" s="31">
        <f>IF($A106="","",SUMIFS('LANÇAMENTOS'!$G$6:$G$1005,'LANÇAMENTOS'!$I$6:$I$1005,($A$4*12+7),'LANÇAMENTOS'!$B$6:$B$1005,"ENTRADA",'LANÇAMENTOS'!$D$6:$D$1005,$A106))</f>
        <v/>
      </c>
      <c r="I106" s="31">
        <f>IF($A106="","",SUMIFS('LANÇAMENTOS'!$G$6:$G$1005,'LANÇAMENTOS'!$I$6:$I$1005,($A$4*12+8),'LANÇAMENTOS'!$B$6:$B$1005,"ENTRADA",'LANÇAMENTOS'!$D$6:$D$1005,$A106))</f>
        <v/>
      </c>
      <c r="J106" s="31">
        <f>IF($A106="","",SUMIFS('LANÇAMENTOS'!$G$6:$G$1005,'LANÇAMENTOS'!$I$6:$I$1005,($A$4*12+9),'LANÇAMENTOS'!$B$6:$B$1005,"ENTRADA",'LANÇAMENTOS'!$D$6:$D$1005,$A106))</f>
        <v/>
      </c>
      <c r="K106" s="31">
        <f>IF($A106="","",SUMIFS('LANÇAMENTOS'!$G$6:$G$1005,'LANÇAMENTOS'!$I$6:$I$1005,($A$4*12+10),'LANÇAMENTOS'!$B$6:$B$1005,"ENTRADA",'LANÇAMENTOS'!$D$6:$D$1005,$A106))</f>
        <v/>
      </c>
      <c r="L106" s="31">
        <f>IF($A106="","",SUMIFS('LANÇAMENTOS'!$G$6:$G$1005,'LANÇAMENTOS'!$I$6:$I$1005,($A$4*12+11),'LANÇAMENTOS'!$B$6:$B$1005,"ENTRADA",'LANÇAMENTOS'!$D$6:$D$1005,$A106))</f>
        <v/>
      </c>
      <c r="M106" s="31">
        <f>IF($A106="","",SUMIFS('LANÇAMENTOS'!$G$6:$G$1005,'LANÇAMENTOS'!$I$6:$I$1005,($A$4*12+12),'LANÇAMENTOS'!$B$6:$B$1005,"ENTRADA",'LANÇAMENTOS'!$D$6:$D$1005,$A106))</f>
        <v/>
      </c>
      <c r="N106" s="43">
        <f>IF($A106="","",SUM(B106:M106))</f>
        <v/>
      </c>
    </row>
    <row r="107">
      <c r="A107" s="18">
        <f>IF(LISTAS!$B45="ENTRADA",LISTAS!$A45,"")</f>
        <v/>
      </c>
      <c r="B107" s="31">
        <f>IF($A107="","",SUMIFS('LANÇAMENTOS'!$G$6:$G$1005,'LANÇAMENTOS'!$I$6:$I$1005,($A$4*12+1),'LANÇAMENTOS'!$B$6:$B$1005,"ENTRADA",'LANÇAMENTOS'!$D$6:$D$1005,$A107))</f>
        <v/>
      </c>
      <c r="C107" s="31">
        <f>IF($A107="","",SUMIFS('LANÇAMENTOS'!$G$6:$G$1005,'LANÇAMENTOS'!$I$6:$I$1005,($A$4*12+2),'LANÇAMENTOS'!$B$6:$B$1005,"ENTRADA",'LANÇAMENTOS'!$D$6:$D$1005,$A107))</f>
        <v/>
      </c>
      <c r="D107" s="31">
        <f>IF($A107="","",SUMIFS('LANÇAMENTOS'!$G$6:$G$1005,'LANÇAMENTOS'!$I$6:$I$1005,($A$4*12+3),'LANÇAMENTOS'!$B$6:$B$1005,"ENTRADA",'LANÇAMENTOS'!$D$6:$D$1005,$A107))</f>
        <v/>
      </c>
      <c r="E107" s="31">
        <f>IF($A107="","",SUMIFS('LANÇAMENTOS'!$G$6:$G$1005,'LANÇAMENTOS'!$I$6:$I$1005,($A$4*12+4),'LANÇAMENTOS'!$B$6:$B$1005,"ENTRADA",'LANÇAMENTOS'!$D$6:$D$1005,$A107))</f>
        <v/>
      </c>
      <c r="F107" s="31">
        <f>IF($A107="","",SUMIFS('LANÇAMENTOS'!$G$6:$G$1005,'LANÇAMENTOS'!$I$6:$I$1005,($A$4*12+5),'LANÇAMENTOS'!$B$6:$B$1005,"ENTRADA",'LANÇAMENTOS'!$D$6:$D$1005,$A107))</f>
        <v/>
      </c>
      <c r="G107" s="31">
        <f>IF($A107="","",SUMIFS('LANÇAMENTOS'!$G$6:$G$1005,'LANÇAMENTOS'!$I$6:$I$1005,($A$4*12+6),'LANÇAMENTOS'!$B$6:$B$1005,"ENTRADA",'LANÇAMENTOS'!$D$6:$D$1005,$A107))</f>
        <v/>
      </c>
      <c r="H107" s="31">
        <f>IF($A107="","",SUMIFS('LANÇAMENTOS'!$G$6:$G$1005,'LANÇAMENTOS'!$I$6:$I$1005,($A$4*12+7),'LANÇAMENTOS'!$B$6:$B$1005,"ENTRADA",'LANÇAMENTOS'!$D$6:$D$1005,$A107))</f>
        <v/>
      </c>
      <c r="I107" s="31">
        <f>IF($A107="","",SUMIFS('LANÇAMENTOS'!$G$6:$G$1005,'LANÇAMENTOS'!$I$6:$I$1005,($A$4*12+8),'LANÇAMENTOS'!$B$6:$B$1005,"ENTRADA",'LANÇAMENTOS'!$D$6:$D$1005,$A107))</f>
        <v/>
      </c>
      <c r="J107" s="31">
        <f>IF($A107="","",SUMIFS('LANÇAMENTOS'!$G$6:$G$1005,'LANÇAMENTOS'!$I$6:$I$1005,($A$4*12+9),'LANÇAMENTOS'!$B$6:$B$1005,"ENTRADA",'LANÇAMENTOS'!$D$6:$D$1005,$A107))</f>
        <v/>
      </c>
      <c r="K107" s="31">
        <f>IF($A107="","",SUMIFS('LANÇAMENTOS'!$G$6:$G$1005,'LANÇAMENTOS'!$I$6:$I$1005,($A$4*12+10),'LANÇAMENTOS'!$B$6:$B$1005,"ENTRADA",'LANÇAMENTOS'!$D$6:$D$1005,$A107))</f>
        <v/>
      </c>
      <c r="L107" s="31">
        <f>IF($A107="","",SUMIFS('LANÇAMENTOS'!$G$6:$G$1005,'LANÇAMENTOS'!$I$6:$I$1005,($A$4*12+11),'LANÇAMENTOS'!$B$6:$B$1005,"ENTRADA",'LANÇAMENTOS'!$D$6:$D$1005,$A107))</f>
        <v/>
      </c>
      <c r="M107" s="31">
        <f>IF($A107="","",SUMIFS('LANÇAMENTOS'!$G$6:$G$1005,'LANÇAMENTOS'!$I$6:$I$1005,($A$4*12+12),'LANÇAMENTOS'!$B$6:$B$1005,"ENTRADA",'LANÇAMENTOS'!$D$6:$D$1005,$A107))</f>
        <v/>
      </c>
      <c r="N107" s="43">
        <f>IF($A107="","",SUM(B107:M107))</f>
        <v/>
      </c>
    </row>
    <row r="108">
      <c r="A108" s="40" t="inlineStr">
        <is>
          <t>TOTAL ENTRADAS</t>
        </is>
      </c>
      <c r="B108" s="48">
        <f>SUM(B68:B107)</f>
        <v/>
      </c>
      <c r="C108" s="48">
        <f>SUM(C68:C107)</f>
        <v/>
      </c>
      <c r="D108" s="48">
        <f>SUM(D68:D107)</f>
        <v/>
      </c>
      <c r="E108" s="48">
        <f>SUM(E68:E107)</f>
        <v/>
      </c>
      <c r="F108" s="48">
        <f>SUM(F68:F107)</f>
        <v/>
      </c>
      <c r="G108" s="48">
        <f>SUM(G68:G107)</f>
        <v/>
      </c>
      <c r="H108" s="48">
        <f>SUM(H68:H107)</f>
        <v/>
      </c>
      <c r="I108" s="48">
        <f>SUM(I68:I107)</f>
        <v/>
      </c>
      <c r="J108" s="48">
        <f>SUM(J68:J107)</f>
        <v/>
      </c>
      <c r="K108" s="48">
        <f>SUM(K68:K107)</f>
        <v/>
      </c>
      <c r="L108" s="48">
        <f>SUM(L68:L107)</f>
        <v/>
      </c>
      <c r="M108" s="48">
        <f>SUM(M68:M107)</f>
        <v/>
      </c>
      <c r="N108" s="48">
        <f>SUM(N68:N107)</f>
        <v/>
      </c>
    </row>
    <row r="111">
      <c r="A111" s="27" t="inlineStr">
        <is>
          <t>CONFERÊNCIA DO ANO</t>
        </is>
      </c>
      <c r="B111" s="28" t="n"/>
      <c r="C111" s="28" t="n"/>
      <c r="D111" s="29" t="n"/>
    </row>
    <row r="112">
      <c r="A112" s="18" t="inlineStr">
        <is>
          <t>Entradas: total do ano menos soma das categorias</t>
        </is>
      </c>
      <c r="B112" s="28" t="n"/>
      <c r="C112" s="29" t="n"/>
      <c r="D112" s="46">
        <f>D18-N108</f>
        <v/>
      </c>
    </row>
    <row r="113">
      <c r="A113" s="18" t="inlineStr">
        <is>
          <t>Saídas: total do ano menos soma das categorias</t>
        </is>
      </c>
      <c r="B113" s="28" t="n"/>
      <c r="C113" s="29" t="n"/>
      <c r="D113" s="46">
        <f>G18-N63</f>
        <v/>
      </c>
    </row>
    <row r="114">
      <c r="A114" s="18" t="inlineStr">
        <is>
          <t>Saldo acumulado bate com a soma dos resultados</t>
        </is>
      </c>
      <c r="B114" s="28" t="n"/>
      <c r="C114" s="29" t="n"/>
      <c r="D114" s="46">
        <f>J18-I18</f>
        <v/>
      </c>
    </row>
  </sheetData>
  <mergeCells count="8">
    <mergeCell ref="A112:C112"/>
    <mergeCell ref="A21:N21"/>
    <mergeCell ref="A2:H2"/>
    <mergeCell ref="A113:C113"/>
    <mergeCell ref="A114:C114"/>
    <mergeCell ref="A1:H1"/>
    <mergeCell ref="A66:N66"/>
    <mergeCell ref="A111:D111"/>
  </mergeCells>
  <conditionalFormatting sqref="I6:I18">
    <cfRule type="cellIs" priority="1" operator="lessThan" dxfId="2">
      <formula>0</formula>
    </cfRule>
  </conditionalFormatting>
  <conditionalFormatting sqref="J6:J18">
    <cfRule type="cellIs" priority="2" operator="lessThan" dxfId="2">
      <formula>0</formula>
    </cfRule>
  </conditionalFormatting>
  <conditionalFormatting sqref="D112">
    <cfRule type="cellIs" priority="3" operator="notEqual" dxfId="2">
      <formula>0</formula>
    </cfRule>
    <cfRule type="cellIs" priority="4" operator="equal" dxfId="3">
      <formula>0</formula>
    </cfRule>
  </conditionalFormatting>
  <conditionalFormatting sqref="D113">
    <cfRule type="cellIs" priority="5" operator="notEqual" dxfId="2">
      <formula>0</formula>
    </cfRule>
    <cfRule type="cellIs" priority="6" operator="equal" dxfId="3">
      <formula>0</formula>
    </cfRule>
  </conditionalFormatting>
  <conditionalFormatting sqref="D114">
    <cfRule type="cellIs" priority="7" operator="notEqual" dxfId="2">
      <formula>0</formula>
    </cfRule>
    <cfRule type="cellIs" priority="8" operator="equal" dxfId="3">
      <formula>0</formula>
    </cfRule>
  </conditionalFormatting>
  <dataValidations count="1">
    <dataValidation sqref="A4" showDropDown="0" showInputMessage="0" showErrorMessage="0" allowBlank="0" errorTitle="Ano" error="Digite o ano com 4 dígitos." type="whole" operator="between">
      <formula1>2000</formula1>
      <formula2>2100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34" customWidth="1" min="5" max="5"/>
    <col width="17" customWidth="1" min="6" max="6"/>
    <col width="16" customWidth="1" min="7" max="7"/>
    <col width="44" customWidth="1" min="8" max="8"/>
  </cols>
  <sheetData>
    <row r="1" ht="24" customHeight="1">
      <c r="A1" s="1" t="inlineStr">
        <is>
          <t>EXEMPLO — COMO PREENCHER CADA CASO</t>
        </is>
      </c>
    </row>
    <row r="2">
      <c r="A2" s="2" t="inlineStr">
        <is>
          <t>Esta aba é só modelo. Nada aqui entra nas contas. Pode apagar a aba quando não precisar mais.</t>
        </is>
      </c>
    </row>
    <row r="4">
      <c r="A4" s="27" t="inlineStr">
        <is>
          <t>MODELOS PARA A ABA LANÇAMENTOS</t>
        </is>
      </c>
      <c r="B4" s="28" t="n"/>
      <c r="C4" s="28" t="n"/>
      <c r="D4" s="28" t="n"/>
      <c r="E4" s="28" t="n"/>
      <c r="F4" s="28" t="n"/>
      <c r="G4" s="28" t="n"/>
      <c r="H4" s="29" t="n"/>
    </row>
    <row r="5" ht="30" customHeight="1">
      <c r="A5" s="15" t="inlineStr">
        <is>
          <t>Data</t>
        </is>
      </c>
      <c r="B5" s="15" t="inlineStr">
        <is>
          <t>Tipo</t>
        </is>
      </c>
      <c r="C5" s="15" t="inlineStr">
        <is>
          <t>Status</t>
        </is>
      </c>
      <c r="D5" s="15" t="inlineStr">
        <is>
          <t>Categoria</t>
        </is>
      </c>
      <c r="E5" s="15" t="inlineStr">
        <is>
          <t>Descrição</t>
        </is>
      </c>
      <c r="F5" s="15" t="inlineStr">
        <is>
          <t>Meio de pagamento</t>
        </is>
      </c>
      <c r="G5" s="15" t="inlineStr">
        <is>
          <t>Valor (Gs.)</t>
        </is>
      </c>
      <c r="H5" s="15" t="inlineStr">
        <is>
          <t>Por que assim</t>
        </is>
      </c>
    </row>
    <row r="6" ht="16" customHeight="1">
      <c r="A6" s="16" t="n">
        <v>46027</v>
      </c>
      <c r="B6" s="17" t="inlineStr">
        <is>
          <t>ENTRADA</t>
        </is>
      </c>
      <c r="C6" s="17" t="inlineStr">
        <is>
          <t>REALIZADO</t>
        </is>
      </c>
      <c r="D6" s="18" t="inlineStr">
        <is>
          <t>Salário</t>
        </is>
      </c>
      <c r="E6" s="18" t="inlineStr">
        <is>
          <t>Salário de janeiro</t>
        </is>
      </c>
      <c r="F6" s="17" t="inlineStr">
        <is>
          <t>Conta corrente</t>
        </is>
      </c>
      <c r="G6" s="19" t="n">
        <v>8500000</v>
      </c>
      <c r="H6" s="52" t="inlineStr">
        <is>
          <t>Dinheiro que já caiu na conta. Status REALIZADO.</t>
        </is>
      </c>
    </row>
    <row r="7" ht="16" customHeight="1">
      <c r="A7" s="16" t="n">
        <v>46032</v>
      </c>
      <c r="B7" s="17" t="inlineStr">
        <is>
          <t>SAÍDA</t>
        </is>
      </c>
      <c r="C7" s="17" t="inlineStr">
        <is>
          <t>REALIZADO</t>
        </is>
      </c>
      <c r="D7" s="18" t="inlineStr">
        <is>
          <t>Alimentação</t>
        </is>
      </c>
      <c r="E7" s="18" t="inlineStr">
        <is>
          <t>Supermercado da semana</t>
        </is>
      </c>
      <c r="F7" s="17" t="inlineStr">
        <is>
          <t>Débito</t>
        </is>
      </c>
      <c r="G7" s="19" t="n">
        <v>780000</v>
      </c>
      <c r="H7" s="52" t="inlineStr">
        <is>
          <t>Saída paga no débito. Sai da conta na hora, então é lançamento normal.</t>
        </is>
      </c>
    </row>
    <row r="8" ht="16" customHeight="1">
      <c r="A8" s="16" t="n">
        <v>46034</v>
      </c>
      <c r="B8" s="17" t="inlineStr">
        <is>
          <t>SAÍDA</t>
        </is>
      </c>
      <c r="C8" s="17" t="inlineStr">
        <is>
          <t>REALIZADO</t>
        </is>
      </c>
      <c r="D8" s="18" t="inlineStr">
        <is>
          <t>Serviços (luz, água, internet)</t>
        </is>
      </c>
      <c r="E8" s="18" t="inlineStr">
        <is>
          <t>Conta de luz</t>
        </is>
      </c>
      <c r="F8" s="17" t="inlineStr">
        <is>
          <t>Boleto</t>
        </is>
      </c>
      <c r="G8" s="19" t="n">
        <v>320000</v>
      </c>
      <c r="H8" s="52" t="inlineStr">
        <is>
          <t>Boleto pago. Também é lançamento normal.</t>
        </is>
      </c>
    </row>
    <row r="9" ht="16" customHeight="1">
      <c r="A9" s="16" t="n">
        <v>46058</v>
      </c>
      <c r="B9" s="17" t="inlineStr">
        <is>
          <t>ENTRADA</t>
        </is>
      </c>
      <c r="C9" s="17" t="inlineStr">
        <is>
          <t>PROJETADO</t>
        </is>
      </c>
      <c r="D9" s="18" t="inlineStr">
        <is>
          <t>Salário</t>
        </is>
      </c>
      <c r="E9" s="18" t="inlineStr">
        <is>
          <t>Salário de fevereiro</t>
        </is>
      </c>
      <c r="F9" s="17" t="inlineStr">
        <is>
          <t>Conta corrente</t>
        </is>
      </c>
      <c r="G9" s="19" t="n">
        <v>8500000</v>
      </c>
      <c r="H9" s="52" t="inlineStr">
        <is>
          <t>Ainda não caiu. Status PROJETADO para já aparecer na projeção.</t>
        </is>
      </c>
    </row>
    <row r="10" ht="16" customHeight="1">
      <c r="A10" s="16" t="n">
        <v>46068</v>
      </c>
      <c r="B10" s="17" t="inlineStr">
        <is>
          <t>SAÍDA</t>
        </is>
      </c>
      <c r="C10" s="17" t="inlineStr">
        <is>
          <t>PROJETADO</t>
        </is>
      </c>
      <c r="D10" s="18" t="inlineStr">
        <is>
          <t>Moradia</t>
        </is>
      </c>
      <c r="E10" s="18" t="inlineStr">
        <is>
          <t>Aluguel de fevereiro</t>
        </is>
      </c>
      <c r="F10" s="17" t="inlineStr">
        <is>
          <t>Transferência</t>
        </is>
      </c>
      <c r="G10" s="19" t="n">
        <v>2500000</v>
      </c>
      <c r="H10" s="52" t="inlineStr">
        <is>
          <t>Gasto certo que ainda vai acontecer. PROJETADO.</t>
        </is>
      </c>
    </row>
    <row r="11" ht="16" customHeight="1">
      <c r="A11" s="16" t="n">
        <v>46042</v>
      </c>
      <c r="B11" s="17" t="inlineStr">
        <is>
          <t>ENTRADA</t>
        </is>
      </c>
      <c r="C11" s="17" t="inlineStr">
        <is>
          <t>REALIZADO</t>
        </is>
      </c>
      <c r="D11" s="18" t="inlineStr">
        <is>
          <t>Venda</t>
        </is>
      </c>
      <c r="E11" s="18" t="inlineStr">
        <is>
          <t>Venda de móvel usado</t>
        </is>
      </c>
      <c r="F11" s="17" t="inlineStr">
        <is>
          <t>Dinheiro</t>
        </is>
      </c>
      <c r="G11" s="19" t="n">
        <v>1200000</v>
      </c>
      <c r="H11" s="52" t="inlineStr">
        <is>
          <t>Entrada em espécie. Meio = Dinheiro.</t>
        </is>
      </c>
    </row>
    <row r="14">
      <c r="A14" s="27" t="inlineStr">
        <is>
          <t>MODELOS PARA A ABA CARTÕES</t>
        </is>
      </c>
      <c r="B14" s="28" t="n"/>
      <c r="C14" s="28" t="n"/>
      <c r="D14" s="28" t="n"/>
      <c r="E14" s="28" t="n"/>
      <c r="F14" s="28" t="n"/>
      <c r="G14" s="28" t="n"/>
      <c r="H14" s="29" t="n"/>
    </row>
    <row r="15" ht="30" customHeight="1">
      <c r="A15" s="15" t="inlineStr">
        <is>
          <t>Data da compra</t>
        </is>
      </c>
      <c r="B15" s="15" t="inlineStr">
        <is>
          <t>Cartão</t>
        </is>
      </c>
      <c r="C15" s="15" t="inlineStr">
        <is>
          <t>Descrição</t>
        </is>
      </c>
      <c r="D15" s="15" t="inlineStr">
        <is>
          <t>Categoria</t>
        </is>
      </c>
      <c r="E15" s="15" t="inlineStr">
        <is>
          <t>Valor total (Gs.)</t>
        </is>
      </c>
      <c r="F15" s="15" t="inlineStr">
        <is>
          <t>Nº parcelas</t>
        </is>
      </c>
      <c r="G15" s="15" t="inlineStr">
        <is>
          <t>1ª parcela</t>
        </is>
      </c>
      <c r="H15" s="15" t="inlineStr">
        <is>
          <t>O que a planilha faz</t>
        </is>
      </c>
    </row>
    <row r="16" ht="16" customHeight="1">
      <c r="A16" s="16" t="n">
        <v>46040</v>
      </c>
      <c r="B16" s="17" t="inlineStr">
        <is>
          <t>Cartão 1</t>
        </is>
      </c>
      <c r="C16" s="18" t="inlineStr">
        <is>
          <t>Geladeira</t>
        </is>
      </c>
      <c r="D16" s="18" t="inlineStr">
        <is>
          <t>Manutenção</t>
        </is>
      </c>
      <c r="E16" s="19" t="n">
        <v>6000000</v>
      </c>
      <c r="F16" s="24" t="n">
        <v>12</v>
      </c>
      <c r="G16" s="16" t="n"/>
      <c r="H16" s="52" t="inlineStr">
        <is>
          <t>Deixe a 1ª parcela em branco: a planilha começa em fev/2026 e cria 12 parcelas de Gs. 500.000.</t>
        </is>
      </c>
    </row>
    <row r="17" ht="16" customHeight="1">
      <c r="A17" s="16" t="n">
        <v>46083</v>
      </c>
      <c r="B17" s="17" t="inlineStr">
        <is>
          <t>Cartão 1</t>
        </is>
      </c>
      <c r="C17" s="18" t="inlineStr">
        <is>
          <t>Passagem aérea</t>
        </is>
      </c>
      <c r="D17" s="18" t="inlineStr">
        <is>
          <t>Lazer</t>
        </is>
      </c>
      <c r="E17" s="19" t="n">
        <v>4500000</v>
      </c>
      <c r="F17" s="24" t="n">
        <v>6</v>
      </c>
      <c r="G17" s="16" t="n">
        <v>46113</v>
      </c>
      <c r="H17" s="52" t="inlineStr">
        <is>
          <t>Aqui a 1ª parcela foi digitada. Vão 6 parcelas de Gs. 750.000, de abr a set/2026.</t>
        </is>
      </c>
    </row>
    <row r="18" ht="16" customHeight="1">
      <c r="A18" s="16" t="n">
        <v>46061</v>
      </c>
      <c r="B18" s="17" t="inlineStr">
        <is>
          <t>Cartão 2</t>
        </is>
      </c>
      <c r="C18" s="18" t="inlineStr">
        <is>
          <t>Farmácia</t>
        </is>
      </c>
      <c r="D18" s="18" t="inlineStr">
        <is>
          <t>Saúde</t>
        </is>
      </c>
      <c r="E18" s="19" t="n">
        <v>350000</v>
      </c>
      <c r="F18" s="24" t="n">
        <v>1</v>
      </c>
      <c r="G18" s="16" t="n"/>
      <c r="H18" s="52" t="inlineStr">
        <is>
          <t>Compra à vista no crédito: 1 parcela. Cai inteira no mês seguinte.</t>
        </is>
      </c>
    </row>
    <row r="19" ht="16" customHeight="1">
      <c r="A19" s="16" t="n">
        <v>46146</v>
      </c>
      <c r="B19" s="17" t="inlineStr">
        <is>
          <t>Cartão 2</t>
        </is>
      </c>
      <c r="C19" s="18" t="inlineStr">
        <is>
          <t>Notebook</t>
        </is>
      </c>
      <c r="D19" s="18" t="inlineStr">
        <is>
          <t>Educação</t>
        </is>
      </c>
      <c r="E19" s="19" t="n">
        <v>10000000</v>
      </c>
      <c r="F19" s="24" t="n">
        <v>7</v>
      </c>
      <c r="G19" s="16" t="n"/>
      <c r="H19" s="52" t="inlineStr">
        <is>
          <t>Gs. 10.000.000 em 7x não dá número redondo. A planilha ajusta a última parcela para fechar exato.</t>
        </is>
      </c>
    </row>
    <row r="22">
      <c r="A22" s="27" t="inlineStr">
        <is>
          <t>CASOS QUE CONFUNDEM — O QUE FAZER</t>
        </is>
      </c>
      <c r="B22" s="28" t="n"/>
      <c r="C22" s="28" t="n"/>
      <c r="D22" s="28" t="n"/>
      <c r="E22" s="28" t="n"/>
      <c r="F22" s="28" t="n"/>
      <c r="G22" s="28" t="n"/>
      <c r="H22" s="29" t="n"/>
    </row>
    <row r="23" ht="30" customHeight="1">
      <c r="A23" s="15" t="inlineStr">
        <is>
          <t>Situação</t>
        </is>
      </c>
      <c r="B23" s="15" t="inlineStr">
        <is>
          <t>O que fazer</t>
        </is>
      </c>
      <c r="C23" s="28" t="n"/>
      <c r="D23" s="28" t="n"/>
      <c r="E23" s="28" t="n"/>
      <c r="F23" s="28" t="n"/>
      <c r="G23" s="28" t="n"/>
      <c r="H23" s="29" t="n"/>
    </row>
    <row r="24" ht="30" customHeight="1">
      <c r="A24" s="53" t="inlineStr">
        <is>
          <t>Paguei a fatura do cartão</t>
        </is>
      </c>
      <c r="B24" s="54" t="inlineStr">
        <is>
          <t>NÃO lance nada. A parcela já foi contada no mês em que venceu. Lançar de novo contaria o mesmo gasto duas vezes.</t>
        </is>
      </c>
      <c r="C24" s="28" t="n"/>
      <c r="D24" s="28" t="n"/>
      <c r="E24" s="28" t="n"/>
      <c r="F24" s="28" t="n"/>
      <c r="G24" s="28" t="n"/>
      <c r="H24" s="29" t="n"/>
    </row>
    <row r="25" ht="30" customHeight="1">
      <c r="A25" s="53" t="inlineStr">
        <is>
          <t>Comprei no cartão e paguei à vista (1x)</t>
        </is>
      </c>
      <c r="B25" s="54" t="inlineStr">
        <is>
          <t>Lance na aba CARTÕES com Nº de parcelas = 1.</t>
        </is>
      </c>
      <c r="C25" s="28" t="n"/>
      <c r="D25" s="28" t="n"/>
      <c r="E25" s="28" t="n"/>
      <c r="F25" s="28" t="n"/>
      <c r="G25" s="28" t="n"/>
      <c r="H25" s="29" t="n"/>
    </row>
    <row r="26" ht="30" customHeight="1">
      <c r="A26" s="53" t="inlineStr">
        <is>
          <t>Comprei no débito</t>
        </is>
      </c>
      <c r="B26" s="54" t="inlineStr">
        <is>
          <t>Lance na aba LANÇAMENTOS como SAÍDA, Meio = Débito. Débito não é cartão de crédito.</t>
        </is>
      </c>
      <c r="C26" s="28" t="n"/>
      <c r="D26" s="28" t="n"/>
      <c r="E26" s="28" t="n"/>
      <c r="F26" s="28" t="n"/>
      <c r="G26" s="28" t="n"/>
      <c r="H26" s="29" t="n"/>
    </row>
    <row r="27" ht="30" customHeight="1">
      <c r="A27" s="53" t="inlineStr">
        <is>
          <t>Passei dinheiro da conta para a poupança</t>
        </is>
      </c>
      <c r="B27" s="54" t="inlineStr">
        <is>
          <t>Não lance. Transferência entre suas contas não é entrada nem saída.</t>
        </is>
      </c>
      <c r="C27" s="28" t="n"/>
      <c r="D27" s="28" t="n"/>
      <c r="E27" s="28" t="n"/>
      <c r="F27" s="28" t="n"/>
      <c r="G27" s="28" t="n"/>
      <c r="H27" s="29" t="n"/>
    </row>
    <row r="28" ht="30" customHeight="1">
      <c r="A28" s="53" t="inlineStr">
        <is>
          <t>Recebi um empréstimo</t>
        </is>
      </c>
      <c r="B28" s="54" t="inlineStr">
        <is>
          <t>ENTRADA, categoria Empréstimo recebido. As parcelas que você vai pagar são SAÍDA em Empréstimo / Financiamento, uma por mês, com status PROJETADO.</t>
        </is>
      </c>
      <c r="C28" s="28" t="n"/>
      <c r="D28" s="28" t="n"/>
      <c r="E28" s="28" t="n"/>
      <c r="F28" s="28" t="n"/>
      <c r="G28" s="28" t="n"/>
      <c r="H28" s="29" t="n"/>
    </row>
    <row r="29" ht="30" customHeight="1">
      <c r="A29" s="53" t="inlineStr">
        <is>
          <t>Parcelei uma compra e depois quitei tudo</t>
        </is>
      </c>
      <c r="B29" s="54" t="inlineStr">
        <is>
          <t>Mude o Nº de parcelas para o número que você realmente pagou e ajuste o Valor total. A planilha recalcula sozinha.</t>
        </is>
      </c>
      <c r="C29" s="28" t="n"/>
      <c r="D29" s="28" t="n"/>
      <c r="E29" s="28" t="n"/>
      <c r="F29" s="28" t="n"/>
      <c r="G29" s="28" t="n"/>
      <c r="H29" s="29" t="n"/>
    </row>
    <row r="30" ht="30" customHeight="1">
      <c r="A30" s="53" t="inlineStr">
        <is>
          <t>Errei um lançamento</t>
        </is>
      </c>
      <c r="B30" s="54" t="inlineStr">
        <is>
          <t>Selecione a linha inteira e aperte DELETE para limpar. Nunca use Excluir linha, senão as fórmulas automáticas somem.</t>
        </is>
      </c>
      <c r="C30" s="28" t="n"/>
      <c r="D30" s="28" t="n"/>
      <c r="E30" s="28" t="n"/>
      <c r="F30" s="28" t="n"/>
      <c r="G30" s="28" t="n"/>
      <c r="H30" s="29" t="n"/>
    </row>
  </sheetData>
  <mergeCells count="13">
    <mergeCell ref="A4:H4"/>
    <mergeCell ref="B28:H28"/>
    <mergeCell ref="B26:H26"/>
    <mergeCell ref="B27:H27"/>
    <mergeCell ref="A2:H2"/>
    <mergeCell ref="B24:H24"/>
    <mergeCell ref="B30:H30"/>
    <mergeCell ref="A14:H14"/>
    <mergeCell ref="B25:H25"/>
    <mergeCell ref="B29:H29"/>
    <mergeCell ref="A1:H1"/>
    <mergeCell ref="A22:H22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BV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 ht="24" customHeight="1">
      <c r="A1" s="1" t="inlineStr">
        <is>
          <t>PARCELAS (automático) — NÃO MEXA NESTA ABA</t>
        </is>
      </c>
    </row>
    <row r="2">
      <c r="A2" s="2" t="inlineStr">
        <is>
          <t>Cada linha é uma compra da aba CARTÕES. As colunas espalham as parcelas pelos meses.</t>
        </is>
      </c>
    </row>
    <row r="5" ht="30" customHeight="1">
      <c r="A5" s="15" t="inlineStr">
        <is>
          <t>Compra</t>
        </is>
      </c>
      <c r="B5" s="15" t="inlineStr">
        <is>
          <t>Valor no mês do RESUMO MENSAL</t>
        </is>
      </c>
      <c r="C5" s="15" t="inlineStr">
        <is>
          <t>Mês 1</t>
        </is>
      </c>
      <c r="D5" s="15" t="inlineStr">
        <is>
          <t>Mês 2</t>
        </is>
      </c>
      <c r="E5" s="15" t="inlineStr">
        <is>
          <t>Mês 3</t>
        </is>
      </c>
      <c r="F5" s="15" t="inlineStr">
        <is>
          <t>Mês 4</t>
        </is>
      </c>
      <c r="G5" s="15" t="inlineStr">
        <is>
          <t>Mês 5</t>
        </is>
      </c>
      <c r="H5" s="15" t="inlineStr">
        <is>
          <t>Mês 6</t>
        </is>
      </c>
      <c r="I5" s="15" t="inlineStr">
        <is>
          <t>Mês 7</t>
        </is>
      </c>
      <c r="J5" s="15" t="inlineStr">
        <is>
          <t>Mês 8</t>
        </is>
      </c>
      <c r="K5" s="15" t="inlineStr">
        <is>
          <t>Mês 9</t>
        </is>
      </c>
      <c r="L5" s="15" t="inlineStr">
        <is>
          <t>Mês 10</t>
        </is>
      </c>
      <c r="M5" s="15" t="inlineStr">
        <is>
          <t>Mês 11</t>
        </is>
      </c>
      <c r="N5" s="15" t="inlineStr">
        <is>
          <t>Mês 12</t>
        </is>
      </c>
      <c r="O5" s="15" t="inlineStr">
        <is>
          <t>Mês 13</t>
        </is>
      </c>
      <c r="P5" s="15" t="inlineStr">
        <is>
          <t>Mês 14</t>
        </is>
      </c>
      <c r="Q5" s="15" t="inlineStr">
        <is>
          <t>Mês 15</t>
        </is>
      </c>
      <c r="R5" s="15" t="inlineStr">
        <is>
          <t>Mês 16</t>
        </is>
      </c>
      <c r="S5" s="15" t="inlineStr">
        <is>
          <t>Mês 17</t>
        </is>
      </c>
      <c r="T5" s="15" t="inlineStr">
        <is>
          <t>Mês 18</t>
        </is>
      </c>
      <c r="U5" s="15" t="inlineStr">
        <is>
          <t>Mês 19</t>
        </is>
      </c>
      <c r="V5" s="15" t="inlineStr">
        <is>
          <t>Mês 20</t>
        </is>
      </c>
      <c r="W5" s="15" t="inlineStr">
        <is>
          <t>Mês 21</t>
        </is>
      </c>
      <c r="X5" s="15" t="inlineStr">
        <is>
          <t>Mês 22</t>
        </is>
      </c>
      <c r="Y5" s="15" t="inlineStr">
        <is>
          <t>Mês 23</t>
        </is>
      </c>
      <c r="Z5" s="15" t="inlineStr">
        <is>
          <t>Mês 24</t>
        </is>
      </c>
      <c r="AA5" s="15" t="inlineStr">
        <is>
          <t>Mês 25</t>
        </is>
      </c>
      <c r="AB5" s="15" t="inlineStr">
        <is>
          <t>Mês 26</t>
        </is>
      </c>
      <c r="AC5" s="15" t="inlineStr">
        <is>
          <t>Mês 27</t>
        </is>
      </c>
      <c r="AD5" s="15" t="inlineStr">
        <is>
          <t>Mês 28</t>
        </is>
      </c>
      <c r="AE5" s="15" t="inlineStr">
        <is>
          <t>Mês 29</t>
        </is>
      </c>
      <c r="AF5" s="15" t="inlineStr">
        <is>
          <t>Mês 30</t>
        </is>
      </c>
      <c r="AG5" s="15" t="inlineStr">
        <is>
          <t>Mês 31</t>
        </is>
      </c>
      <c r="AH5" s="15" t="inlineStr">
        <is>
          <t>Mês 32</t>
        </is>
      </c>
      <c r="AI5" s="15" t="inlineStr">
        <is>
          <t>Mês 33</t>
        </is>
      </c>
      <c r="AJ5" s="15" t="inlineStr">
        <is>
          <t>Mês 34</t>
        </is>
      </c>
      <c r="AK5" s="15" t="inlineStr">
        <is>
          <t>Mês 35</t>
        </is>
      </c>
      <c r="AL5" s="15" t="inlineStr">
        <is>
          <t>Mês 36</t>
        </is>
      </c>
      <c r="AM5" s="15" t="inlineStr">
        <is>
          <t>Valor 1</t>
        </is>
      </c>
      <c r="AN5" s="15" t="inlineStr">
        <is>
          <t>Valor 2</t>
        </is>
      </c>
      <c r="AO5" s="15" t="inlineStr">
        <is>
          <t>Valor 3</t>
        </is>
      </c>
      <c r="AP5" s="15" t="inlineStr">
        <is>
          <t>Valor 4</t>
        </is>
      </c>
      <c r="AQ5" s="15" t="inlineStr">
        <is>
          <t>Valor 5</t>
        </is>
      </c>
      <c r="AR5" s="15" t="inlineStr">
        <is>
          <t>Valor 6</t>
        </is>
      </c>
      <c r="AS5" s="15" t="inlineStr">
        <is>
          <t>Valor 7</t>
        </is>
      </c>
      <c r="AT5" s="15" t="inlineStr">
        <is>
          <t>Valor 8</t>
        </is>
      </c>
      <c r="AU5" s="15" t="inlineStr">
        <is>
          <t>Valor 9</t>
        </is>
      </c>
      <c r="AV5" s="15" t="inlineStr">
        <is>
          <t>Valor 10</t>
        </is>
      </c>
      <c r="AW5" s="15" t="inlineStr">
        <is>
          <t>Valor 11</t>
        </is>
      </c>
      <c r="AX5" s="15" t="inlineStr">
        <is>
          <t>Valor 12</t>
        </is>
      </c>
      <c r="AY5" s="15" t="inlineStr">
        <is>
          <t>Valor 13</t>
        </is>
      </c>
      <c r="AZ5" s="15" t="inlineStr">
        <is>
          <t>Valor 14</t>
        </is>
      </c>
      <c r="BA5" s="15" t="inlineStr">
        <is>
          <t>Valor 15</t>
        </is>
      </c>
      <c r="BB5" s="15" t="inlineStr">
        <is>
          <t>Valor 16</t>
        </is>
      </c>
      <c r="BC5" s="15" t="inlineStr">
        <is>
          <t>Valor 17</t>
        </is>
      </c>
      <c r="BD5" s="15" t="inlineStr">
        <is>
          <t>Valor 18</t>
        </is>
      </c>
      <c r="BE5" s="15" t="inlineStr">
        <is>
          <t>Valor 19</t>
        </is>
      </c>
      <c r="BF5" s="15" t="inlineStr">
        <is>
          <t>Valor 20</t>
        </is>
      </c>
      <c r="BG5" s="15" t="inlineStr">
        <is>
          <t>Valor 21</t>
        </is>
      </c>
      <c r="BH5" s="15" t="inlineStr">
        <is>
          <t>Valor 22</t>
        </is>
      </c>
      <c r="BI5" s="15" t="inlineStr">
        <is>
          <t>Valor 23</t>
        </is>
      </c>
      <c r="BJ5" s="15" t="inlineStr">
        <is>
          <t>Valor 24</t>
        </is>
      </c>
      <c r="BK5" s="15" t="inlineStr">
        <is>
          <t>Valor 25</t>
        </is>
      </c>
      <c r="BL5" s="15" t="inlineStr">
        <is>
          <t>Valor 26</t>
        </is>
      </c>
      <c r="BM5" s="15" t="inlineStr">
        <is>
          <t>Valor 27</t>
        </is>
      </c>
      <c r="BN5" s="15" t="inlineStr">
        <is>
          <t>Valor 28</t>
        </is>
      </c>
      <c r="BO5" s="15" t="inlineStr">
        <is>
          <t>Valor 29</t>
        </is>
      </c>
      <c r="BP5" s="15" t="inlineStr">
        <is>
          <t>Valor 30</t>
        </is>
      </c>
      <c r="BQ5" s="15" t="inlineStr">
        <is>
          <t>Valor 31</t>
        </is>
      </c>
      <c r="BR5" s="15" t="inlineStr">
        <is>
          <t>Valor 32</t>
        </is>
      </c>
      <c r="BS5" s="15" t="inlineStr">
        <is>
          <t>Valor 33</t>
        </is>
      </c>
      <c r="BT5" s="15" t="inlineStr">
        <is>
          <t>Valor 34</t>
        </is>
      </c>
      <c r="BU5" s="15" t="inlineStr">
        <is>
          <t>Valor 35</t>
        </is>
      </c>
      <c r="BV5" s="15" t="inlineStr">
        <is>
          <t>Valor 36</t>
        </is>
      </c>
    </row>
    <row r="6">
      <c r="A6" s="55">
        <f>IF(CARTÕES!$C6="","",CARTÕES!$C6)</f>
        <v/>
      </c>
      <c r="B6" s="56">
        <f>SUMPRODUCT((C6:AL6='RESUMO MENSAL'!$C$4)*AM6:BV6)</f>
        <v/>
      </c>
      <c r="C6" s="57">
        <f>IF(OR(CARTÕES!$K6=0,CARTÕES!$F6=""),0,IF(1&gt;CARTÕES!$F6,0,CARTÕES!$K6+1-1))</f>
        <v/>
      </c>
      <c r="D6" s="57">
        <f>IF(OR(CARTÕES!$K6=0,CARTÕES!$F6=""),0,IF(2&gt;CARTÕES!$F6,0,CARTÕES!$K6+2-1))</f>
        <v/>
      </c>
      <c r="E6" s="57">
        <f>IF(OR(CARTÕES!$K6=0,CARTÕES!$F6=""),0,IF(3&gt;CARTÕES!$F6,0,CARTÕES!$K6+3-1))</f>
        <v/>
      </c>
      <c r="F6" s="57">
        <f>IF(OR(CARTÕES!$K6=0,CARTÕES!$F6=""),0,IF(4&gt;CARTÕES!$F6,0,CARTÕES!$K6+4-1))</f>
        <v/>
      </c>
      <c r="G6" s="57">
        <f>IF(OR(CARTÕES!$K6=0,CARTÕES!$F6=""),0,IF(5&gt;CARTÕES!$F6,0,CARTÕES!$K6+5-1))</f>
        <v/>
      </c>
      <c r="H6" s="57">
        <f>IF(OR(CARTÕES!$K6=0,CARTÕES!$F6=""),0,IF(6&gt;CARTÕES!$F6,0,CARTÕES!$K6+6-1))</f>
        <v/>
      </c>
      <c r="I6" s="57">
        <f>IF(OR(CARTÕES!$K6=0,CARTÕES!$F6=""),0,IF(7&gt;CARTÕES!$F6,0,CARTÕES!$K6+7-1))</f>
        <v/>
      </c>
      <c r="J6" s="57">
        <f>IF(OR(CARTÕES!$K6=0,CARTÕES!$F6=""),0,IF(8&gt;CARTÕES!$F6,0,CARTÕES!$K6+8-1))</f>
        <v/>
      </c>
      <c r="K6" s="57">
        <f>IF(OR(CARTÕES!$K6=0,CARTÕES!$F6=""),0,IF(9&gt;CARTÕES!$F6,0,CARTÕES!$K6+9-1))</f>
        <v/>
      </c>
      <c r="L6" s="57">
        <f>IF(OR(CARTÕES!$K6=0,CARTÕES!$F6=""),0,IF(10&gt;CARTÕES!$F6,0,CARTÕES!$K6+10-1))</f>
        <v/>
      </c>
      <c r="M6" s="57">
        <f>IF(OR(CARTÕES!$K6=0,CARTÕES!$F6=""),0,IF(11&gt;CARTÕES!$F6,0,CARTÕES!$K6+11-1))</f>
        <v/>
      </c>
      <c r="N6" s="57">
        <f>IF(OR(CARTÕES!$K6=0,CARTÕES!$F6=""),0,IF(12&gt;CARTÕES!$F6,0,CARTÕES!$K6+12-1))</f>
        <v/>
      </c>
      <c r="O6" s="57">
        <f>IF(OR(CARTÕES!$K6=0,CARTÕES!$F6=""),0,IF(13&gt;CARTÕES!$F6,0,CARTÕES!$K6+13-1))</f>
        <v/>
      </c>
      <c r="P6" s="57">
        <f>IF(OR(CARTÕES!$K6=0,CARTÕES!$F6=""),0,IF(14&gt;CARTÕES!$F6,0,CARTÕES!$K6+14-1))</f>
        <v/>
      </c>
      <c r="Q6" s="57">
        <f>IF(OR(CARTÕES!$K6=0,CARTÕES!$F6=""),0,IF(15&gt;CARTÕES!$F6,0,CARTÕES!$K6+15-1))</f>
        <v/>
      </c>
      <c r="R6" s="57">
        <f>IF(OR(CARTÕES!$K6=0,CARTÕES!$F6=""),0,IF(16&gt;CARTÕES!$F6,0,CARTÕES!$K6+16-1))</f>
        <v/>
      </c>
      <c r="S6" s="57">
        <f>IF(OR(CARTÕES!$K6=0,CARTÕES!$F6=""),0,IF(17&gt;CARTÕES!$F6,0,CARTÕES!$K6+17-1))</f>
        <v/>
      </c>
      <c r="T6" s="57">
        <f>IF(OR(CARTÕES!$K6=0,CARTÕES!$F6=""),0,IF(18&gt;CARTÕES!$F6,0,CARTÕES!$K6+18-1))</f>
        <v/>
      </c>
      <c r="U6" s="57">
        <f>IF(OR(CARTÕES!$K6=0,CARTÕES!$F6=""),0,IF(19&gt;CARTÕES!$F6,0,CARTÕES!$K6+19-1))</f>
        <v/>
      </c>
      <c r="V6" s="57">
        <f>IF(OR(CARTÕES!$K6=0,CARTÕES!$F6=""),0,IF(20&gt;CARTÕES!$F6,0,CARTÕES!$K6+20-1))</f>
        <v/>
      </c>
      <c r="W6" s="57">
        <f>IF(OR(CARTÕES!$K6=0,CARTÕES!$F6=""),0,IF(21&gt;CARTÕES!$F6,0,CARTÕES!$K6+21-1))</f>
        <v/>
      </c>
      <c r="X6" s="57">
        <f>IF(OR(CARTÕES!$K6=0,CARTÕES!$F6=""),0,IF(22&gt;CARTÕES!$F6,0,CARTÕES!$K6+22-1))</f>
        <v/>
      </c>
      <c r="Y6" s="57">
        <f>IF(OR(CARTÕES!$K6=0,CARTÕES!$F6=""),0,IF(23&gt;CARTÕES!$F6,0,CARTÕES!$K6+23-1))</f>
        <v/>
      </c>
      <c r="Z6" s="57">
        <f>IF(OR(CARTÕES!$K6=0,CARTÕES!$F6=""),0,IF(24&gt;CARTÕES!$F6,0,CARTÕES!$K6+24-1))</f>
        <v/>
      </c>
      <c r="AA6" s="57">
        <f>IF(OR(CARTÕES!$K6=0,CARTÕES!$F6=""),0,IF(25&gt;CARTÕES!$F6,0,CARTÕES!$K6+25-1))</f>
        <v/>
      </c>
      <c r="AB6" s="57">
        <f>IF(OR(CARTÕES!$K6=0,CARTÕES!$F6=""),0,IF(26&gt;CARTÕES!$F6,0,CARTÕES!$K6+26-1))</f>
        <v/>
      </c>
      <c r="AC6" s="57">
        <f>IF(OR(CARTÕES!$K6=0,CARTÕES!$F6=""),0,IF(27&gt;CARTÕES!$F6,0,CARTÕES!$K6+27-1))</f>
        <v/>
      </c>
      <c r="AD6" s="57">
        <f>IF(OR(CARTÕES!$K6=0,CARTÕES!$F6=""),0,IF(28&gt;CARTÕES!$F6,0,CARTÕES!$K6+28-1))</f>
        <v/>
      </c>
      <c r="AE6" s="57">
        <f>IF(OR(CARTÕES!$K6=0,CARTÕES!$F6=""),0,IF(29&gt;CARTÕES!$F6,0,CARTÕES!$K6+29-1))</f>
        <v/>
      </c>
      <c r="AF6" s="57">
        <f>IF(OR(CARTÕES!$K6=0,CARTÕES!$F6=""),0,IF(30&gt;CARTÕES!$F6,0,CARTÕES!$K6+30-1))</f>
        <v/>
      </c>
      <c r="AG6" s="57">
        <f>IF(OR(CARTÕES!$K6=0,CARTÕES!$F6=""),0,IF(31&gt;CARTÕES!$F6,0,CARTÕES!$K6+31-1))</f>
        <v/>
      </c>
      <c r="AH6" s="57">
        <f>IF(OR(CARTÕES!$K6=0,CARTÕES!$F6=""),0,IF(32&gt;CARTÕES!$F6,0,CARTÕES!$K6+32-1))</f>
        <v/>
      </c>
      <c r="AI6" s="57">
        <f>IF(OR(CARTÕES!$K6=0,CARTÕES!$F6=""),0,IF(33&gt;CARTÕES!$F6,0,CARTÕES!$K6+33-1))</f>
        <v/>
      </c>
      <c r="AJ6" s="57">
        <f>IF(OR(CARTÕES!$K6=0,CARTÕES!$F6=""),0,IF(34&gt;CARTÕES!$F6,0,CARTÕES!$K6+34-1))</f>
        <v/>
      </c>
      <c r="AK6" s="57">
        <f>IF(OR(CARTÕES!$K6=0,CARTÕES!$F6=""),0,IF(35&gt;CARTÕES!$F6,0,CARTÕES!$K6+35-1))</f>
        <v/>
      </c>
      <c r="AL6" s="57">
        <f>IF(OR(CARTÕES!$K6=0,CARTÕES!$F6=""),0,IF(36&gt;CARTÕES!$F6,0,CARTÕES!$K6+36-1))</f>
        <v/>
      </c>
      <c r="AM6" s="57">
        <f>IF(C6=0,0,IF(1=CARTÕES!$F6,CARTÕES!$E6-(CARTÕES!$F6-1)*ROUND(CARTÕES!$E6/CARTÕES!$F6,0),ROUND(CARTÕES!$E6/CARTÕES!$F6,0)))</f>
        <v/>
      </c>
      <c r="AN6" s="57">
        <f>IF(D6=0,0,IF(2=CARTÕES!$F6,CARTÕES!$E6-(CARTÕES!$F6-1)*ROUND(CARTÕES!$E6/CARTÕES!$F6,0),ROUND(CARTÕES!$E6/CARTÕES!$F6,0)))</f>
        <v/>
      </c>
      <c r="AO6" s="57">
        <f>IF(E6=0,0,IF(3=CARTÕES!$F6,CARTÕES!$E6-(CARTÕES!$F6-1)*ROUND(CARTÕES!$E6/CARTÕES!$F6,0),ROUND(CARTÕES!$E6/CARTÕES!$F6,0)))</f>
        <v/>
      </c>
      <c r="AP6" s="57">
        <f>IF(F6=0,0,IF(4=CARTÕES!$F6,CARTÕES!$E6-(CARTÕES!$F6-1)*ROUND(CARTÕES!$E6/CARTÕES!$F6,0),ROUND(CARTÕES!$E6/CARTÕES!$F6,0)))</f>
        <v/>
      </c>
      <c r="AQ6" s="57">
        <f>IF(G6=0,0,IF(5=CARTÕES!$F6,CARTÕES!$E6-(CARTÕES!$F6-1)*ROUND(CARTÕES!$E6/CARTÕES!$F6,0),ROUND(CARTÕES!$E6/CARTÕES!$F6,0)))</f>
        <v/>
      </c>
      <c r="AR6" s="57">
        <f>IF(H6=0,0,IF(6=CARTÕES!$F6,CARTÕES!$E6-(CARTÕES!$F6-1)*ROUND(CARTÕES!$E6/CARTÕES!$F6,0),ROUND(CARTÕES!$E6/CARTÕES!$F6,0)))</f>
        <v/>
      </c>
      <c r="AS6" s="57">
        <f>IF(I6=0,0,IF(7=CARTÕES!$F6,CARTÕES!$E6-(CARTÕES!$F6-1)*ROUND(CARTÕES!$E6/CARTÕES!$F6,0),ROUND(CARTÕES!$E6/CARTÕES!$F6,0)))</f>
        <v/>
      </c>
      <c r="AT6" s="57">
        <f>IF(J6=0,0,IF(8=CARTÕES!$F6,CARTÕES!$E6-(CARTÕES!$F6-1)*ROUND(CARTÕES!$E6/CARTÕES!$F6,0),ROUND(CARTÕES!$E6/CARTÕES!$F6,0)))</f>
        <v/>
      </c>
      <c r="AU6" s="57">
        <f>IF(K6=0,0,IF(9=CARTÕES!$F6,CARTÕES!$E6-(CARTÕES!$F6-1)*ROUND(CARTÕES!$E6/CARTÕES!$F6,0),ROUND(CARTÕES!$E6/CARTÕES!$F6,0)))</f>
        <v/>
      </c>
      <c r="AV6" s="57">
        <f>IF(L6=0,0,IF(10=CARTÕES!$F6,CARTÕES!$E6-(CARTÕES!$F6-1)*ROUND(CARTÕES!$E6/CARTÕES!$F6,0),ROUND(CARTÕES!$E6/CARTÕES!$F6,0)))</f>
        <v/>
      </c>
      <c r="AW6" s="57">
        <f>IF(M6=0,0,IF(11=CARTÕES!$F6,CARTÕES!$E6-(CARTÕES!$F6-1)*ROUND(CARTÕES!$E6/CARTÕES!$F6,0),ROUND(CARTÕES!$E6/CARTÕES!$F6,0)))</f>
        <v/>
      </c>
      <c r="AX6" s="57">
        <f>IF(N6=0,0,IF(12=CARTÕES!$F6,CARTÕES!$E6-(CARTÕES!$F6-1)*ROUND(CARTÕES!$E6/CARTÕES!$F6,0),ROUND(CARTÕES!$E6/CARTÕES!$F6,0)))</f>
        <v/>
      </c>
      <c r="AY6" s="57">
        <f>IF(O6=0,0,IF(13=CARTÕES!$F6,CARTÕES!$E6-(CARTÕES!$F6-1)*ROUND(CARTÕES!$E6/CARTÕES!$F6,0),ROUND(CARTÕES!$E6/CARTÕES!$F6,0)))</f>
        <v/>
      </c>
      <c r="AZ6" s="57">
        <f>IF(P6=0,0,IF(14=CARTÕES!$F6,CARTÕES!$E6-(CARTÕES!$F6-1)*ROUND(CARTÕES!$E6/CARTÕES!$F6,0),ROUND(CARTÕES!$E6/CARTÕES!$F6,0)))</f>
        <v/>
      </c>
      <c r="BA6" s="57">
        <f>IF(Q6=0,0,IF(15=CARTÕES!$F6,CARTÕES!$E6-(CARTÕES!$F6-1)*ROUND(CARTÕES!$E6/CARTÕES!$F6,0),ROUND(CARTÕES!$E6/CARTÕES!$F6,0)))</f>
        <v/>
      </c>
      <c r="BB6" s="57">
        <f>IF(R6=0,0,IF(16=CARTÕES!$F6,CARTÕES!$E6-(CARTÕES!$F6-1)*ROUND(CARTÕES!$E6/CARTÕES!$F6,0),ROUND(CARTÕES!$E6/CARTÕES!$F6,0)))</f>
        <v/>
      </c>
      <c r="BC6" s="57">
        <f>IF(S6=0,0,IF(17=CARTÕES!$F6,CARTÕES!$E6-(CARTÕES!$F6-1)*ROUND(CARTÕES!$E6/CARTÕES!$F6,0),ROUND(CARTÕES!$E6/CARTÕES!$F6,0)))</f>
        <v/>
      </c>
      <c r="BD6" s="57">
        <f>IF(T6=0,0,IF(18=CARTÕES!$F6,CARTÕES!$E6-(CARTÕES!$F6-1)*ROUND(CARTÕES!$E6/CARTÕES!$F6,0),ROUND(CARTÕES!$E6/CARTÕES!$F6,0)))</f>
        <v/>
      </c>
      <c r="BE6" s="57">
        <f>IF(U6=0,0,IF(19=CARTÕES!$F6,CARTÕES!$E6-(CARTÕES!$F6-1)*ROUND(CARTÕES!$E6/CARTÕES!$F6,0),ROUND(CARTÕES!$E6/CARTÕES!$F6,0)))</f>
        <v/>
      </c>
      <c r="BF6" s="57">
        <f>IF(V6=0,0,IF(20=CARTÕES!$F6,CARTÕES!$E6-(CARTÕES!$F6-1)*ROUND(CARTÕES!$E6/CARTÕES!$F6,0),ROUND(CARTÕES!$E6/CARTÕES!$F6,0)))</f>
        <v/>
      </c>
      <c r="BG6" s="57">
        <f>IF(W6=0,0,IF(21=CARTÕES!$F6,CARTÕES!$E6-(CARTÕES!$F6-1)*ROUND(CARTÕES!$E6/CARTÕES!$F6,0),ROUND(CARTÕES!$E6/CARTÕES!$F6,0)))</f>
        <v/>
      </c>
      <c r="BH6" s="57">
        <f>IF(X6=0,0,IF(22=CARTÕES!$F6,CARTÕES!$E6-(CARTÕES!$F6-1)*ROUND(CARTÕES!$E6/CARTÕES!$F6,0),ROUND(CARTÕES!$E6/CARTÕES!$F6,0)))</f>
        <v/>
      </c>
      <c r="BI6" s="57">
        <f>IF(Y6=0,0,IF(23=CARTÕES!$F6,CARTÕES!$E6-(CARTÕES!$F6-1)*ROUND(CARTÕES!$E6/CARTÕES!$F6,0),ROUND(CARTÕES!$E6/CARTÕES!$F6,0)))</f>
        <v/>
      </c>
      <c r="BJ6" s="57">
        <f>IF(Z6=0,0,IF(24=CARTÕES!$F6,CARTÕES!$E6-(CARTÕES!$F6-1)*ROUND(CARTÕES!$E6/CARTÕES!$F6,0),ROUND(CARTÕES!$E6/CARTÕES!$F6,0)))</f>
        <v/>
      </c>
      <c r="BK6" s="57">
        <f>IF(AA6=0,0,IF(25=CARTÕES!$F6,CARTÕES!$E6-(CARTÕES!$F6-1)*ROUND(CARTÕES!$E6/CARTÕES!$F6,0),ROUND(CARTÕES!$E6/CARTÕES!$F6,0)))</f>
        <v/>
      </c>
      <c r="BL6" s="57">
        <f>IF(AB6=0,0,IF(26=CARTÕES!$F6,CARTÕES!$E6-(CARTÕES!$F6-1)*ROUND(CARTÕES!$E6/CARTÕES!$F6,0),ROUND(CARTÕES!$E6/CARTÕES!$F6,0)))</f>
        <v/>
      </c>
      <c r="BM6" s="57">
        <f>IF(AC6=0,0,IF(27=CARTÕES!$F6,CARTÕES!$E6-(CARTÕES!$F6-1)*ROUND(CARTÕES!$E6/CARTÕES!$F6,0),ROUND(CARTÕES!$E6/CARTÕES!$F6,0)))</f>
        <v/>
      </c>
      <c r="BN6" s="57">
        <f>IF(AD6=0,0,IF(28=CARTÕES!$F6,CARTÕES!$E6-(CARTÕES!$F6-1)*ROUND(CARTÕES!$E6/CARTÕES!$F6,0),ROUND(CARTÕES!$E6/CARTÕES!$F6,0)))</f>
        <v/>
      </c>
      <c r="BO6" s="57">
        <f>IF(AE6=0,0,IF(29=CARTÕES!$F6,CARTÕES!$E6-(CARTÕES!$F6-1)*ROUND(CARTÕES!$E6/CARTÕES!$F6,0),ROUND(CARTÕES!$E6/CARTÕES!$F6,0)))</f>
        <v/>
      </c>
      <c r="BP6" s="57">
        <f>IF(AF6=0,0,IF(30=CARTÕES!$F6,CARTÕES!$E6-(CARTÕES!$F6-1)*ROUND(CARTÕES!$E6/CARTÕES!$F6,0),ROUND(CARTÕES!$E6/CARTÕES!$F6,0)))</f>
        <v/>
      </c>
      <c r="BQ6" s="57">
        <f>IF(AG6=0,0,IF(31=CARTÕES!$F6,CARTÕES!$E6-(CARTÕES!$F6-1)*ROUND(CARTÕES!$E6/CARTÕES!$F6,0),ROUND(CARTÕES!$E6/CARTÕES!$F6,0)))</f>
        <v/>
      </c>
      <c r="BR6" s="57">
        <f>IF(AH6=0,0,IF(32=CARTÕES!$F6,CARTÕES!$E6-(CARTÕES!$F6-1)*ROUND(CARTÕES!$E6/CARTÕES!$F6,0),ROUND(CARTÕES!$E6/CARTÕES!$F6,0)))</f>
        <v/>
      </c>
      <c r="BS6" s="57">
        <f>IF(AI6=0,0,IF(33=CARTÕES!$F6,CARTÕES!$E6-(CARTÕES!$F6-1)*ROUND(CARTÕES!$E6/CARTÕES!$F6,0),ROUND(CARTÕES!$E6/CARTÕES!$F6,0)))</f>
        <v/>
      </c>
      <c r="BT6" s="57">
        <f>IF(AJ6=0,0,IF(34=CARTÕES!$F6,CARTÕES!$E6-(CARTÕES!$F6-1)*ROUND(CARTÕES!$E6/CARTÕES!$F6,0),ROUND(CARTÕES!$E6/CARTÕES!$F6,0)))</f>
        <v/>
      </c>
      <c r="BU6" s="57">
        <f>IF(AK6=0,0,IF(35=CARTÕES!$F6,CARTÕES!$E6-(CARTÕES!$F6-1)*ROUND(CARTÕES!$E6/CARTÕES!$F6,0),ROUND(CARTÕES!$E6/CARTÕES!$F6,0)))</f>
        <v/>
      </c>
      <c r="BV6" s="57">
        <f>IF(AL6=0,0,IF(36=CARTÕES!$F6,CARTÕES!$E6-(CARTÕES!$F6-1)*ROUND(CARTÕES!$E6/CARTÕES!$F6,0),ROUND(CARTÕES!$E6/CARTÕES!$F6,0)))</f>
        <v/>
      </c>
    </row>
    <row r="7">
      <c r="A7" s="55">
        <f>IF(CARTÕES!$C7="","",CARTÕES!$C7)</f>
        <v/>
      </c>
      <c r="B7" s="56">
        <f>SUMPRODUCT((C7:AL7='RESUMO MENSAL'!$C$4)*AM7:BV7)</f>
        <v/>
      </c>
      <c r="C7" s="57">
        <f>IF(OR(CARTÕES!$K7=0,CARTÕES!$F7=""),0,IF(1&gt;CARTÕES!$F7,0,CARTÕES!$K7+1-1))</f>
        <v/>
      </c>
      <c r="D7" s="57">
        <f>IF(OR(CARTÕES!$K7=0,CARTÕES!$F7=""),0,IF(2&gt;CARTÕES!$F7,0,CARTÕES!$K7+2-1))</f>
        <v/>
      </c>
      <c r="E7" s="57">
        <f>IF(OR(CARTÕES!$K7=0,CARTÕES!$F7=""),0,IF(3&gt;CARTÕES!$F7,0,CARTÕES!$K7+3-1))</f>
        <v/>
      </c>
      <c r="F7" s="57">
        <f>IF(OR(CARTÕES!$K7=0,CARTÕES!$F7=""),0,IF(4&gt;CARTÕES!$F7,0,CARTÕES!$K7+4-1))</f>
        <v/>
      </c>
      <c r="G7" s="57">
        <f>IF(OR(CARTÕES!$K7=0,CARTÕES!$F7=""),0,IF(5&gt;CARTÕES!$F7,0,CARTÕES!$K7+5-1))</f>
        <v/>
      </c>
      <c r="H7" s="57">
        <f>IF(OR(CARTÕES!$K7=0,CARTÕES!$F7=""),0,IF(6&gt;CARTÕES!$F7,0,CARTÕES!$K7+6-1))</f>
        <v/>
      </c>
      <c r="I7" s="57">
        <f>IF(OR(CARTÕES!$K7=0,CARTÕES!$F7=""),0,IF(7&gt;CARTÕES!$F7,0,CARTÕES!$K7+7-1))</f>
        <v/>
      </c>
      <c r="J7" s="57">
        <f>IF(OR(CARTÕES!$K7=0,CARTÕES!$F7=""),0,IF(8&gt;CARTÕES!$F7,0,CARTÕES!$K7+8-1))</f>
        <v/>
      </c>
      <c r="K7" s="57">
        <f>IF(OR(CARTÕES!$K7=0,CARTÕES!$F7=""),0,IF(9&gt;CARTÕES!$F7,0,CARTÕES!$K7+9-1))</f>
        <v/>
      </c>
      <c r="L7" s="57">
        <f>IF(OR(CARTÕES!$K7=0,CARTÕES!$F7=""),0,IF(10&gt;CARTÕES!$F7,0,CARTÕES!$K7+10-1))</f>
        <v/>
      </c>
      <c r="M7" s="57">
        <f>IF(OR(CARTÕES!$K7=0,CARTÕES!$F7=""),0,IF(11&gt;CARTÕES!$F7,0,CARTÕES!$K7+11-1))</f>
        <v/>
      </c>
      <c r="N7" s="57">
        <f>IF(OR(CARTÕES!$K7=0,CARTÕES!$F7=""),0,IF(12&gt;CARTÕES!$F7,0,CARTÕES!$K7+12-1))</f>
        <v/>
      </c>
      <c r="O7" s="57">
        <f>IF(OR(CARTÕES!$K7=0,CARTÕES!$F7=""),0,IF(13&gt;CARTÕES!$F7,0,CARTÕES!$K7+13-1))</f>
        <v/>
      </c>
      <c r="P7" s="57">
        <f>IF(OR(CARTÕES!$K7=0,CARTÕES!$F7=""),0,IF(14&gt;CARTÕES!$F7,0,CARTÕES!$K7+14-1))</f>
        <v/>
      </c>
      <c r="Q7" s="57">
        <f>IF(OR(CARTÕES!$K7=0,CARTÕES!$F7=""),0,IF(15&gt;CARTÕES!$F7,0,CARTÕES!$K7+15-1))</f>
        <v/>
      </c>
      <c r="R7" s="57">
        <f>IF(OR(CARTÕES!$K7=0,CARTÕES!$F7=""),0,IF(16&gt;CARTÕES!$F7,0,CARTÕES!$K7+16-1))</f>
        <v/>
      </c>
      <c r="S7" s="57">
        <f>IF(OR(CARTÕES!$K7=0,CARTÕES!$F7=""),0,IF(17&gt;CARTÕES!$F7,0,CARTÕES!$K7+17-1))</f>
        <v/>
      </c>
      <c r="T7" s="57">
        <f>IF(OR(CARTÕES!$K7=0,CARTÕES!$F7=""),0,IF(18&gt;CARTÕES!$F7,0,CARTÕES!$K7+18-1))</f>
        <v/>
      </c>
      <c r="U7" s="57">
        <f>IF(OR(CARTÕES!$K7=0,CARTÕES!$F7=""),0,IF(19&gt;CARTÕES!$F7,0,CARTÕES!$K7+19-1))</f>
        <v/>
      </c>
      <c r="V7" s="57">
        <f>IF(OR(CARTÕES!$K7=0,CARTÕES!$F7=""),0,IF(20&gt;CARTÕES!$F7,0,CARTÕES!$K7+20-1))</f>
        <v/>
      </c>
      <c r="W7" s="57">
        <f>IF(OR(CARTÕES!$K7=0,CARTÕES!$F7=""),0,IF(21&gt;CARTÕES!$F7,0,CARTÕES!$K7+21-1))</f>
        <v/>
      </c>
      <c r="X7" s="57">
        <f>IF(OR(CARTÕES!$K7=0,CARTÕES!$F7=""),0,IF(22&gt;CARTÕES!$F7,0,CARTÕES!$K7+22-1))</f>
        <v/>
      </c>
      <c r="Y7" s="57">
        <f>IF(OR(CARTÕES!$K7=0,CARTÕES!$F7=""),0,IF(23&gt;CARTÕES!$F7,0,CARTÕES!$K7+23-1))</f>
        <v/>
      </c>
      <c r="Z7" s="57">
        <f>IF(OR(CARTÕES!$K7=0,CARTÕES!$F7=""),0,IF(24&gt;CARTÕES!$F7,0,CARTÕES!$K7+24-1))</f>
        <v/>
      </c>
      <c r="AA7" s="57">
        <f>IF(OR(CARTÕES!$K7=0,CARTÕES!$F7=""),0,IF(25&gt;CARTÕES!$F7,0,CARTÕES!$K7+25-1))</f>
        <v/>
      </c>
      <c r="AB7" s="57">
        <f>IF(OR(CARTÕES!$K7=0,CARTÕES!$F7=""),0,IF(26&gt;CARTÕES!$F7,0,CARTÕES!$K7+26-1))</f>
        <v/>
      </c>
      <c r="AC7" s="57">
        <f>IF(OR(CARTÕES!$K7=0,CARTÕES!$F7=""),0,IF(27&gt;CARTÕES!$F7,0,CARTÕES!$K7+27-1))</f>
        <v/>
      </c>
      <c r="AD7" s="57">
        <f>IF(OR(CARTÕES!$K7=0,CARTÕES!$F7=""),0,IF(28&gt;CARTÕES!$F7,0,CARTÕES!$K7+28-1))</f>
        <v/>
      </c>
      <c r="AE7" s="57">
        <f>IF(OR(CARTÕES!$K7=0,CARTÕES!$F7=""),0,IF(29&gt;CARTÕES!$F7,0,CARTÕES!$K7+29-1))</f>
        <v/>
      </c>
      <c r="AF7" s="57">
        <f>IF(OR(CARTÕES!$K7=0,CARTÕES!$F7=""),0,IF(30&gt;CARTÕES!$F7,0,CARTÕES!$K7+30-1))</f>
        <v/>
      </c>
      <c r="AG7" s="57">
        <f>IF(OR(CARTÕES!$K7=0,CARTÕES!$F7=""),0,IF(31&gt;CARTÕES!$F7,0,CARTÕES!$K7+31-1))</f>
        <v/>
      </c>
      <c r="AH7" s="57">
        <f>IF(OR(CARTÕES!$K7=0,CARTÕES!$F7=""),0,IF(32&gt;CARTÕES!$F7,0,CARTÕES!$K7+32-1))</f>
        <v/>
      </c>
      <c r="AI7" s="57">
        <f>IF(OR(CARTÕES!$K7=0,CARTÕES!$F7=""),0,IF(33&gt;CARTÕES!$F7,0,CARTÕES!$K7+33-1))</f>
        <v/>
      </c>
      <c r="AJ7" s="57">
        <f>IF(OR(CARTÕES!$K7=0,CARTÕES!$F7=""),0,IF(34&gt;CARTÕES!$F7,0,CARTÕES!$K7+34-1))</f>
        <v/>
      </c>
      <c r="AK7" s="57">
        <f>IF(OR(CARTÕES!$K7=0,CARTÕES!$F7=""),0,IF(35&gt;CARTÕES!$F7,0,CARTÕES!$K7+35-1))</f>
        <v/>
      </c>
      <c r="AL7" s="57">
        <f>IF(OR(CARTÕES!$K7=0,CARTÕES!$F7=""),0,IF(36&gt;CARTÕES!$F7,0,CARTÕES!$K7+36-1))</f>
        <v/>
      </c>
      <c r="AM7" s="57">
        <f>IF(C7=0,0,IF(1=CARTÕES!$F7,CARTÕES!$E7-(CARTÕES!$F7-1)*ROUND(CARTÕES!$E7/CARTÕES!$F7,0),ROUND(CARTÕES!$E7/CARTÕES!$F7,0)))</f>
        <v/>
      </c>
      <c r="AN7" s="57">
        <f>IF(D7=0,0,IF(2=CARTÕES!$F7,CARTÕES!$E7-(CARTÕES!$F7-1)*ROUND(CARTÕES!$E7/CARTÕES!$F7,0),ROUND(CARTÕES!$E7/CARTÕES!$F7,0)))</f>
        <v/>
      </c>
      <c r="AO7" s="57">
        <f>IF(E7=0,0,IF(3=CARTÕES!$F7,CARTÕES!$E7-(CARTÕES!$F7-1)*ROUND(CARTÕES!$E7/CARTÕES!$F7,0),ROUND(CARTÕES!$E7/CARTÕES!$F7,0)))</f>
        <v/>
      </c>
      <c r="AP7" s="57">
        <f>IF(F7=0,0,IF(4=CARTÕES!$F7,CARTÕES!$E7-(CARTÕES!$F7-1)*ROUND(CARTÕES!$E7/CARTÕES!$F7,0),ROUND(CARTÕES!$E7/CARTÕES!$F7,0)))</f>
        <v/>
      </c>
      <c r="AQ7" s="57">
        <f>IF(G7=0,0,IF(5=CARTÕES!$F7,CARTÕES!$E7-(CARTÕES!$F7-1)*ROUND(CARTÕES!$E7/CARTÕES!$F7,0),ROUND(CARTÕES!$E7/CARTÕES!$F7,0)))</f>
        <v/>
      </c>
      <c r="AR7" s="57">
        <f>IF(H7=0,0,IF(6=CARTÕES!$F7,CARTÕES!$E7-(CARTÕES!$F7-1)*ROUND(CARTÕES!$E7/CARTÕES!$F7,0),ROUND(CARTÕES!$E7/CARTÕES!$F7,0)))</f>
        <v/>
      </c>
      <c r="AS7" s="57">
        <f>IF(I7=0,0,IF(7=CARTÕES!$F7,CARTÕES!$E7-(CARTÕES!$F7-1)*ROUND(CARTÕES!$E7/CARTÕES!$F7,0),ROUND(CARTÕES!$E7/CARTÕES!$F7,0)))</f>
        <v/>
      </c>
      <c r="AT7" s="57">
        <f>IF(J7=0,0,IF(8=CARTÕES!$F7,CARTÕES!$E7-(CARTÕES!$F7-1)*ROUND(CARTÕES!$E7/CARTÕES!$F7,0),ROUND(CARTÕES!$E7/CARTÕES!$F7,0)))</f>
        <v/>
      </c>
      <c r="AU7" s="57">
        <f>IF(K7=0,0,IF(9=CARTÕES!$F7,CARTÕES!$E7-(CARTÕES!$F7-1)*ROUND(CARTÕES!$E7/CARTÕES!$F7,0),ROUND(CARTÕES!$E7/CARTÕES!$F7,0)))</f>
        <v/>
      </c>
      <c r="AV7" s="57">
        <f>IF(L7=0,0,IF(10=CARTÕES!$F7,CARTÕES!$E7-(CARTÕES!$F7-1)*ROUND(CARTÕES!$E7/CARTÕES!$F7,0),ROUND(CARTÕES!$E7/CARTÕES!$F7,0)))</f>
        <v/>
      </c>
      <c r="AW7" s="57">
        <f>IF(M7=0,0,IF(11=CARTÕES!$F7,CARTÕES!$E7-(CARTÕES!$F7-1)*ROUND(CARTÕES!$E7/CARTÕES!$F7,0),ROUND(CARTÕES!$E7/CARTÕES!$F7,0)))</f>
        <v/>
      </c>
      <c r="AX7" s="57">
        <f>IF(N7=0,0,IF(12=CARTÕES!$F7,CARTÕES!$E7-(CARTÕES!$F7-1)*ROUND(CARTÕES!$E7/CARTÕES!$F7,0),ROUND(CARTÕES!$E7/CARTÕES!$F7,0)))</f>
        <v/>
      </c>
      <c r="AY7" s="57">
        <f>IF(O7=0,0,IF(13=CARTÕES!$F7,CARTÕES!$E7-(CARTÕES!$F7-1)*ROUND(CARTÕES!$E7/CARTÕES!$F7,0),ROUND(CARTÕES!$E7/CARTÕES!$F7,0)))</f>
        <v/>
      </c>
      <c r="AZ7" s="57">
        <f>IF(P7=0,0,IF(14=CARTÕES!$F7,CARTÕES!$E7-(CARTÕES!$F7-1)*ROUND(CARTÕES!$E7/CARTÕES!$F7,0),ROUND(CARTÕES!$E7/CARTÕES!$F7,0)))</f>
        <v/>
      </c>
      <c r="BA7" s="57">
        <f>IF(Q7=0,0,IF(15=CARTÕES!$F7,CARTÕES!$E7-(CARTÕES!$F7-1)*ROUND(CARTÕES!$E7/CARTÕES!$F7,0),ROUND(CARTÕES!$E7/CARTÕES!$F7,0)))</f>
        <v/>
      </c>
      <c r="BB7" s="57">
        <f>IF(R7=0,0,IF(16=CARTÕES!$F7,CARTÕES!$E7-(CARTÕES!$F7-1)*ROUND(CARTÕES!$E7/CARTÕES!$F7,0),ROUND(CARTÕES!$E7/CARTÕES!$F7,0)))</f>
        <v/>
      </c>
      <c r="BC7" s="57">
        <f>IF(S7=0,0,IF(17=CARTÕES!$F7,CARTÕES!$E7-(CARTÕES!$F7-1)*ROUND(CARTÕES!$E7/CARTÕES!$F7,0),ROUND(CARTÕES!$E7/CARTÕES!$F7,0)))</f>
        <v/>
      </c>
      <c r="BD7" s="57">
        <f>IF(T7=0,0,IF(18=CARTÕES!$F7,CARTÕES!$E7-(CARTÕES!$F7-1)*ROUND(CARTÕES!$E7/CARTÕES!$F7,0),ROUND(CARTÕES!$E7/CARTÕES!$F7,0)))</f>
        <v/>
      </c>
      <c r="BE7" s="57">
        <f>IF(U7=0,0,IF(19=CARTÕES!$F7,CARTÕES!$E7-(CARTÕES!$F7-1)*ROUND(CARTÕES!$E7/CARTÕES!$F7,0),ROUND(CARTÕES!$E7/CARTÕES!$F7,0)))</f>
        <v/>
      </c>
      <c r="BF7" s="57">
        <f>IF(V7=0,0,IF(20=CARTÕES!$F7,CARTÕES!$E7-(CARTÕES!$F7-1)*ROUND(CARTÕES!$E7/CARTÕES!$F7,0),ROUND(CARTÕES!$E7/CARTÕES!$F7,0)))</f>
        <v/>
      </c>
      <c r="BG7" s="57">
        <f>IF(W7=0,0,IF(21=CARTÕES!$F7,CARTÕES!$E7-(CARTÕES!$F7-1)*ROUND(CARTÕES!$E7/CARTÕES!$F7,0),ROUND(CARTÕES!$E7/CARTÕES!$F7,0)))</f>
        <v/>
      </c>
      <c r="BH7" s="57">
        <f>IF(X7=0,0,IF(22=CARTÕES!$F7,CARTÕES!$E7-(CARTÕES!$F7-1)*ROUND(CARTÕES!$E7/CARTÕES!$F7,0),ROUND(CARTÕES!$E7/CARTÕES!$F7,0)))</f>
        <v/>
      </c>
      <c r="BI7" s="57">
        <f>IF(Y7=0,0,IF(23=CARTÕES!$F7,CARTÕES!$E7-(CARTÕES!$F7-1)*ROUND(CARTÕES!$E7/CARTÕES!$F7,0),ROUND(CARTÕES!$E7/CARTÕES!$F7,0)))</f>
        <v/>
      </c>
      <c r="BJ7" s="57">
        <f>IF(Z7=0,0,IF(24=CARTÕES!$F7,CARTÕES!$E7-(CARTÕES!$F7-1)*ROUND(CARTÕES!$E7/CARTÕES!$F7,0),ROUND(CARTÕES!$E7/CARTÕES!$F7,0)))</f>
        <v/>
      </c>
      <c r="BK7" s="57">
        <f>IF(AA7=0,0,IF(25=CARTÕES!$F7,CARTÕES!$E7-(CARTÕES!$F7-1)*ROUND(CARTÕES!$E7/CARTÕES!$F7,0),ROUND(CARTÕES!$E7/CARTÕES!$F7,0)))</f>
        <v/>
      </c>
      <c r="BL7" s="57">
        <f>IF(AB7=0,0,IF(26=CARTÕES!$F7,CARTÕES!$E7-(CARTÕES!$F7-1)*ROUND(CARTÕES!$E7/CARTÕES!$F7,0),ROUND(CARTÕES!$E7/CARTÕES!$F7,0)))</f>
        <v/>
      </c>
      <c r="BM7" s="57">
        <f>IF(AC7=0,0,IF(27=CARTÕES!$F7,CARTÕES!$E7-(CARTÕES!$F7-1)*ROUND(CARTÕES!$E7/CARTÕES!$F7,0),ROUND(CARTÕES!$E7/CARTÕES!$F7,0)))</f>
        <v/>
      </c>
      <c r="BN7" s="57">
        <f>IF(AD7=0,0,IF(28=CARTÕES!$F7,CARTÕES!$E7-(CARTÕES!$F7-1)*ROUND(CARTÕES!$E7/CARTÕES!$F7,0),ROUND(CARTÕES!$E7/CARTÕES!$F7,0)))</f>
        <v/>
      </c>
      <c r="BO7" s="57">
        <f>IF(AE7=0,0,IF(29=CARTÕES!$F7,CARTÕES!$E7-(CARTÕES!$F7-1)*ROUND(CARTÕES!$E7/CARTÕES!$F7,0),ROUND(CARTÕES!$E7/CARTÕES!$F7,0)))</f>
        <v/>
      </c>
      <c r="BP7" s="57">
        <f>IF(AF7=0,0,IF(30=CARTÕES!$F7,CARTÕES!$E7-(CARTÕES!$F7-1)*ROUND(CARTÕES!$E7/CARTÕES!$F7,0),ROUND(CARTÕES!$E7/CARTÕES!$F7,0)))</f>
        <v/>
      </c>
      <c r="BQ7" s="57">
        <f>IF(AG7=0,0,IF(31=CARTÕES!$F7,CARTÕES!$E7-(CARTÕES!$F7-1)*ROUND(CARTÕES!$E7/CARTÕES!$F7,0),ROUND(CARTÕES!$E7/CARTÕES!$F7,0)))</f>
        <v/>
      </c>
      <c r="BR7" s="57">
        <f>IF(AH7=0,0,IF(32=CARTÕES!$F7,CARTÕES!$E7-(CARTÕES!$F7-1)*ROUND(CARTÕES!$E7/CARTÕES!$F7,0),ROUND(CARTÕES!$E7/CARTÕES!$F7,0)))</f>
        <v/>
      </c>
      <c r="BS7" s="57">
        <f>IF(AI7=0,0,IF(33=CARTÕES!$F7,CARTÕES!$E7-(CARTÕES!$F7-1)*ROUND(CARTÕES!$E7/CARTÕES!$F7,0),ROUND(CARTÕES!$E7/CARTÕES!$F7,0)))</f>
        <v/>
      </c>
      <c r="BT7" s="57">
        <f>IF(AJ7=0,0,IF(34=CARTÕES!$F7,CARTÕES!$E7-(CARTÕES!$F7-1)*ROUND(CARTÕES!$E7/CARTÕES!$F7,0),ROUND(CARTÕES!$E7/CARTÕES!$F7,0)))</f>
        <v/>
      </c>
      <c r="BU7" s="57">
        <f>IF(AK7=0,0,IF(35=CARTÕES!$F7,CARTÕES!$E7-(CARTÕES!$F7-1)*ROUND(CARTÕES!$E7/CARTÕES!$F7,0),ROUND(CARTÕES!$E7/CARTÕES!$F7,0)))</f>
        <v/>
      </c>
      <c r="BV7" s="57">
        <f>IF(AL7=0,0,IF(36=CARTÕES!$F7,CARTÕES!$E7-(CARTÕES!$F7-1)*ROUND(CARTÕES!$E7/CARTÕES!$F7,0),ROUND(CARTÕES!$E7/CARTÕES!$F7,0)))</f>
        <v/>
      </c>
    </row>
    <row r="8">
      <c r="A8" s="55">
        <f>IF(CARTÕES!$C8="","",CARTÕES!$C8)</f>
        <v/>
      </c>
      <c r="B8" s="56">
        <f>SUMPRODUCT((C8:AL8='RESUMO MENSAL'!$C$4)*AM8:BV8)</f>
        <v/>
      </c>
      <c r="C8" s="57">
        <f>IF(OR(CARTÕES!$K8=0,CARTÕES!$F8=""),0,IF(1&gt;CARTÕES!$F8,0,CARTÕES!$K8+1-1))</f>
        <v/>
      </c>
      <c r="D8" s="57">
        <f>IF(OR(CARTÕES!$K8=0,CARTÕES!$F8=""),0,IF(2&gt;CARTÕES!$F8,0,CARTÕES!$K8+2-1))</f>
        <v/>
      </c>
      <c r="E8" s="57">
        <f>IF(OR(CARTÕES!$K8=0,CARTÕES!$F8=""),0,IF(3&gt;CARTÕES!$F8,0,CARTÕES!$K8+3-1))</f>
        <v/>
      </c>
      <c r="F8" s="57">
        <f>IF(OR(CARTÕES!$K8=0,CARTÕES!$F8=""),0,IF(4&gt;CARTÕES!$F8,0,CARTÕES!$K8+4-1))</f>
        <v/>
      </c>
      <c r="G8" s="57">
        <f>IF(OR(CARTÕES!$K8=0,CARTÕES!$F8=""),0,IF(5&gt;CARTÕES!$F8,0,CARTÕES!$K8+5-1))</f>
        <v/>
      </c>
      <c r="H8" s="57">
        <f>IF(OR(CARTÕES!$K8=0,CARTÕES!$F8=""),0,IF(6&gt;CARTÕES!$F8,0,CARTÕES!$K8+6-1))</f>
        <v/>
      </c>
      <c r="I8" s="57">
        <f>IF(OR(CARTÕES!$K8=0,CARTÕES!$F8=""),0,IF(7&gt;CARTÕES!$F8,0,CARTÕES!$K8+7-1))</f>
        <v/>
      </c>
      <c r="J8" s="57">
        <f>IF(OR(CARTÕES!$K8=0,CARTÕES!$F8=""),0,IF(8&gt;CARTÕES!$F8,0,CARTÕES!$K8+8-1))</f>
        <v/>
      </c>
      <c r="K8" s="57">
        <f>IF(OR(CARTÕES!$K8=0,CARTÕES!$F8=""),0,IF(9&gt;CARTÕES!$F8,0,CARTÕES!$K8+9-1))</f>
        <v/>
      </c>
      <c r="L8" s="57">
        <f>IF(OR(CARTÕES!$K8=0,CARTÕES!$F8=""),0,IF(10&gt;CARTÕES!$F8,0,CARTÕES!$K8+10-1))</f>
        <v/>
      </c>
      <c r="M8" s="57">
        <f>IF(OR(CARTÕES!$K8=0,CARTÕES!$F8=""),0,IF(11&gt;CARTÕES!$F8,0,CARTÕES!$K8+11-1))</f>
        <v/>
      </c>
      <c r="N8" s="57">
        <f>IF(OR(CARTÕES!$K8=0,CARTÕES!$F8=""),0,IF(12&gt;CARTÕES!$F8,0,CARTÕES!$K8+12-1))</f>
        <v/>
      </c>
      <c r="O8" s="57">
        <f>IF(OR(CARTÕES!$K8=0,CARTÕES!$F8=""),0,IF(13&gt;CARTÕES!$F8,0,CARTÕES!$K8+13-1))</f>
        <v/>
      </c>
      <c r="P8" s="57">
        <f>IF(OR(CARTÕES!$K8=0,CARTÕES!$F8=""),0,IF(14&gt;CARTÕES!$F8,0,CARTÕES!$K8+14-1))</f>
        <v/>
      </c>
      <c r="Q8" s="57">
        <f>IF(OR(CARTÕES!$K8=0,CARTÕES!$F8=""),0,IF(15&gt;CARTÕES!$F8,0,CARTÕES!$K8+15-1))</f>
        <v/>
      </c>
      <c r="R8" s="57">
        <f>IF(OR(CARTÕES!$K8=0,CARTÕES!$F8=""),0,IF(16&gt;CARTÕES!$F8,0,CARTÕES!$K8+16-1))</f>
        <v/>
      </c>
      <c r="S8" s="57">
        <f>IF(OR(CARTÕES!$K8=0,CARTÕES!$F8=""),0,IF(17&gt;CARTÕES!$F8,0,CARTÕES!$K8+17-1))</f>
        <v/>
      </c>
      <c r="T8" s="57">
        <f>IF(OR(CARTÕES!$K8=0,CARTÕES!$F8=""),0,IF(18&gt;CARTÕES!$F8,0,CARTÕES!$K8+18-1))</f>
        <v/>
      </c>
      <c r="U8" s="57">
        <f>IF(OR(CARTÕES!$K8=0,CARTÕES!$F8=""),0,IF(19&gt;CARTÕES!$F8,0,CARTÕES!$K8+19-1))</f>
        <v/>
      </c>
      <c r="V8" s="57">
        <f>IF(OR(CARTÕES!$K8=0,CARTÕES!$F8=""),0,IF(20&gt;CARTÕES!$F8,0,CARTÕES!$K8+20-1))</f>
        <v/>
      </c>
      <c r="W8" s="57">
        <f>IF(OR(CARTÕES!$K8=0,CARTÕES!$F8=""),0,IF(21&gt;CARTÕES!$F8,0,CARTÕES!$K8+21-1))</f>
        <v/>
      </c>
      <c r="X8" s="57">
        <f>IF(OR(CARTÕES!$K8=0,CARTÕES!$F8=""),0,IF(22&gt;CARTÕES!$F8,0,CARTÕES!$K8+22-1))</f>
        <v/>
      </c>
      <c r="Y8" s="57">
        <f>IF(OR(CARTÕES!$K8=0,CARTÕES!$F8=""),0,IF(23&gt;CARTÕES!$F8,0,CARTÕES!$K8+23-1))</f>
        <v/>
      </c>
      <c r="Z8" s="57">
        <f>IF(OR(CARTÕES!$K8=0,CARTÕES!$F8=""),0,IF(24&gt;CARTÕES!$F8,0,CARTÕES!$K8+24-1))</f>
        <v/>
      </c>
      <c r="AA8" s="57">
        <f>IF(OR(CARTÕES!$K8=0,CARTÕES!$F8=""),0,IF(25&gt;CARTÕES!$F8,0,CARTÕES!$K8+25-1))</f>
        <v/>
      </c>
      <c r="AB8" s="57">
        <f>IF(OR(CARTÕES!$K8=0,CARTÕES!$F8=""),0,IF(26&gt;CARTÕES!$F8,0,CARTÕES!$K8+26-1))</f>
        <v/>
      </c>
      <c r="AC8" s="57">
        <f>IF(OR(CARTÕES!$K8=0,CARTÕES!$F8=""),0,IF(27&gt;CARTÕES!$F8,0,CARTÕES!$K8+27-1))</f>
        <v/>
      </c>
      <c r="AD8" s="57">
        <f>IF(OR(CARTÕES!$K8=0,CARTÕES!$F8=""),0,IF(28&gt;CARTÕES!$F8,0,CARTÕES!$K8+28-1))</f>
        <v/>
      </c>
      <c r="AE8" s="57">
        <f>IF(OR(CARTÕES!$K8=0,CARTÕES!$F8=""),0,IF(29&gt;CARTÕES!$F8,0,CARTÕES!$K8+29-1))</f>
        <v/>
      </c>
      <c r="AF8" s="57">
        <f>IF(OR(CARTÕES!$K8=0,CARTÕES!$F8=""),0,IF(30&gt;CARTÕES!$F8,0,CARTÕES!$K8+30-1))</f>
        <v/>
      </c>
      <c r="AG8" s="57">
        <f>IF(OR(CARTÕES!$K8=0,CARTÕES!$F8=""),0,IF(31&gt;CARTÕES!$F8,0,CARTÕES!$K8+31-1))</f>
        <v/>
      </c>
      <c r="AH8" s="57">
        <f>IF(OR(CARTÕES!$K8=0,CARTÕES!$F8=""),0,IF(32&gt;CARTÕES!$F8,0,CARTÕES!$K8+32-1))</f>
        <v/>
      </c>
      <c r="AI8" s="57">
        <f>IF(OR(CARTÕES!$K8=0,CARTÕES!$F8=""),0,IF(33&gt;CARTÕES!$F8,0,CARTÕES!$K8+33-1))</f>
        <v/>
      </c>
      <c r="AJ8" s="57">
        <f>IF(OR(CARTÕES!$K8=0,CARTÕES!$F8=""),0,IF(34&gt;CARTÕES!$F8,0,CARTÕES!$K8+34-1))</f>
        <v/>
      </c>
      <c r="AK8" s="57">
        <f>IF(OR(CARTÕES!$K8=0,CARTÕES!$F8=""),0,IF(35&gt;CARTÕES!$F8,0,CARTÕES!$K8+35-1))</f>
        <v/>
      </c>
      <c r="AL8" s="57">
        <f>IF(OR(CARTÕES!$K8=0,CARTÕES!$F8=""),0,IF(36&gt;CARTÕES!$F8,0,CARTÕES!$K8+36-1))</f>
        <v/>
      </c>
      <c r="AM8" s="57">
        <f>IF(C8=0,0,IF(1=CARTÕES!$F8,CARTÕES!$E8-(CARTÕES!$F8-1)*ROUND(CARTÕES!$E8/CARTÕES!$F8,0),ROUND(CARTÕES!$E8/CARTÕES!$F8,0)))</f>
        <v/>
      </c>
      <c r="AN8" s="57">
        <f>IF(D8=0,0,IF(2=CARTÕES!$F8,CARTÕES!$E8-(CARTÕES!$F8-1)*ROUND(CARTÕES!$E8/CARTÕES!$F8,0),ROUND(CARTÕES!$E8/CARTÕES!$F8,0)))</f>
        <v/>
      </c>
      <c r="AO8" s="57">
        <f>IF(E8=0,0,IF(3=CARTÕES!$F8,CARTÕES!$E8-(CARTÕES!$F8-1)*ROUND(CARTÕES!$E8/CARTÕES!$F8,0),ROUND(CARTÕES!$E8/CARTÕES!$F8,0)))</f>
        <v/>
      </c>
      <c r="AP8" s="57">
        <f>IF(F8=0,0,IF(4=CARTÕES!$F8,CARTÕES!$E8-(CARTÕES!$F8-1)*ROUND(CARTÕES!$E8/CARTÕES!$F8,0),ROUND(CARTÕES!$E8/CARTÕES!$F8,0)))</f>
        <v/>
      </c>
      <c r="AQ8" s="57">
        <f>IF(G8=0,0,IF(5=CARTÕES!$F8,CARTÕES!$E8-(CARTÕES!$F8-1)*ROUND(CARTÕES!$E8/CARTÕES!$F8,0),ROUND(CARTÕES!$E8/CARTÕES!$F8,0)))</f>
        <v/>
      </c>
      <c r="AR8" s="57">
        <f>IF(H8=0,0,IF(6=CARTÕES!$F8,CARTÕES!$E8-(CARTÕES!$F8-1)*ROUND(CARTÕES!$E8/CARTÕES!$F8,0),ROUND(CARTÕES!$E8/CARTÕES!$F8,0)))</f>
        <v/>
      </c>
      <c r="AS8" s="57">
        <f>IF(I8=0,0,IF(7=CARTÕES!$F8,CARTÕES!$E8-(CARTÕES!$F8-1)*ROUND(CARTÕES!$E8/CARTÕES!$F8,0),ROUND(CARTÕES!$E8/CARTÕES!$F8,0)))</f>
        <v/>
      </c>
      <c r="AT8" s="57">
        <f>IF(J8=0,0,IF(8=CARTÕES!$F8,CARTÕES!$E8-(CARTÕES!$F8-1)*ROUND(CARTÕES!$E8/CARTÕES!$F8,0),ROUND(CARTÕES!$E8/CARTÕES!$F8,0)))</f>
        <v/>
      </c>
      <c r="AU8" s="57">
        <f>IF(K8=0,0,IF(9=CARTÕES!$F8,CARTÕES!$E8-(CARTÕES!$F8-1)*ROUND(CARTÕES!$E8/CARTÕES!$F8,0),ROUND(CARTÕES!$E8/CARTÕES!$F8,0)))</f>
        <v/>
      </c>
      <c r="AV8" s="57">
        <f>IF(L8=0,0,IF(10=CARTÕES!$F8,CARTÕES!$E8-(CARTÕES!$F8-1)*ROUND(CARTÕES!$E8/CARTÕES!$F8,0),ROUND(CARTÕES!$E8/CARTÕES!$F8,0)))</f>
        <v/>
      </c>
      <c r="AW8" s="57">
        <f>IF(M8=0,0,IF(11=CARTÕES!$F8,CARTÕES!$E8-(CARTÕES!$F8-1)*ROUND(CARTÕES!$E8/CARTÕES!$F8,0),ROUND(CARTÕES!$E8/CARTÕES!$F8,0)))</f>
        <v/>
      </c>
      <c r="AX8" s="57">
        <f>IF(N8=0,0,IF(12=CARTÕES!$F8,CARTÕES!$E8-(CARTÕES!$F8-1)*ROUND(CARTÕES!$E8/CARTÕES!$F8,0),ROUND(CARTÕES!$E8/CARTÕES!$F8,0)))</f>
        <v/>
      </c>
      <c r="AY8" s="57">
        <f>IF(O8=0,0,IF(13=CARTÕES!$F8,CARTÕES!$E8-(CARTÕES!$F8-1)*ROUND(CARTÕES!$E8/CARTÕES!$F8,0),ROUND(CARTÕES!$E8/CARTÕES!$F8,0)))</f>
        <v/>
      </c>
      <c r="AZ8" s="57">
        <f>IF(P8=0,0,IF(14=CARTÕES!$F8,CARTÕES!$E8-(CARTÕES!$F8-1)*ROUND(CARTÕES!$E8/CARTÕES!$F8,0),ROUND(CARTÕES!$E8/CARTÕES!$F8,0)))</f>
        <v/>
      </c>
      <c r="BA8" s="57">
        <f>IF(Q8=0,0,IF(15=CARTÕES!$F8,CARTÕES!$E8-(CARTÕES!$F8-1)*ROUND(CARTÕES!$E8/CARTÕES!$F8,0),ROUND(CARTÕES!$E8/CARTÕES!$F8,0)))</f>
        <v/>
      </c>
      <c r="BB8" s="57">
        <f>IF(R8=0,0,IF(16=CARTÕES!$F8,CARTÕES!$E8-(CARTÕES!$F8-1)*ROUND(CARTÕES!$E8/CARTÕES!$F8,0),ROUND(CARTÕES!$E8/CARTÕES!$F8,0)))</f>
        <v/>
      </c>
      <c r="BC8" s="57">
        <f>IF(S8=0,0,IF(17=CARTÕES!$F8,CARTÕES!$E8-(CARTÕES!$F8-1)*ROUND(CARTÕES!$E8/CARTÕES!$F8,0),ROUND(CARTÕES!$E8/CARTÕES!$F8,0)))</f>
        <v/>
      </c>
      <c r="BD8" s="57">
        <f>IF(T8=0,0,IF(18=CARTÕES!$F8,CARTÕES!$E8-(CARTÕES!$F8-1)*ROUND(CARTÕES!$E8/CARTÕES!$F8,0),ROUND(CARTÕES!$E8/CARTÕES!$F8,0)))</f>
        <v/>
      </c>
      <c r="BE8" s="57">
        <f>IF(U8=0,0,IF(19=CARTÕES!$F8,CARTÕES!$E8-(CARTÕES!$F8-1)*ROUND(CARTÕES!$E8/CARTÕES!$F8,0),ROUND(CARTÕES!$E8/CARTÕES!$F8,0)))</f>
        <v/>
      </c>
      <c r="BF8" s="57">
        <f>IF(V8=0,0,IF(20=CARTÕES!$F8,CARTÕES!$E8-(CARTÕES!$F8-1)*ROUND(CARTÕES!$E8/CARTÕES!$F8,0),ROUND(CARTÕES!$E8/CARTÕES!$F8,0)))</f>
        <v/>
      </c>
      <c r="BG8" s="57">
        <f>IF(W8=0,0,IF(21=CARTÕES!$F8,CARTÕES!$E8-(CARTÕES!$F8-1)*ROUND(CARTÕES!$E8/CARTÕES!$F8,0),ROUND(CARTÕES!$E8/CARTÕES!$F8,0)))</f>
        <v/>
      </c>
      <c r="BH8" s="57">
        <f>IF(X8=0,0,IF(22=CARTÕES!$F8,CARTÕES!$E8-(CARTÕES!$F8-1)*ROUND(CARTÕES!$E8/CARTÕES!$F8,0),ROUND(CARTÕES!$E8/CARTÕES!$F8,0)))</f>
        <v/>
      </c>
      <c r="BI8" s="57">
        <f>IF(Y8=0,0,IF(23=CARTÕES!$F8,CARTÕES!$E8-(CARTÕES!$F8-1)*ROUND(CARTÕES!$E8/CARTÕES!$F8,0),ROUND(CARTÕES!$E8/CARTÕES!$F8,0)))</f>
        <v/>
      </c>
      <c r="BJ8" s="57">
        <f>IF(Z8=0,0,IF(24=CARTÕES!$F8,CARTÕES!$E8-(CARTÕES!$F8-1)*ROUND(CARTÕES!$E8/CARTÕES!$F8,0),ROUND(CARTÕES!$E8/CARTÕES!$F8,0)))</f>
        <v/>
      </c>
      <c r="BK8" s="57">
        <f>IF(AA8=0,0,IF(25=CARTÕES!$F8,CARTÕES!$E8-(CARTÕES!$F8-1)*ROUND(CARTÕES!$E8/CARTÕES!$F8,0),ROUND(CARTÕES!$E8/CARTÕES!$F8,0)))</f>
        <v/>
      </c>
      <c r="BL8" s="57">
        <f>IF(AB8=0,0,IF(26=CARTÕES!$F8,CARTÕES!$E8-(CARTÕES!$F8-1)*ROUND(CARTÕES!$E8/CARTÕES!$F8,0),ROUND(CARTÕES!$E8/CARTÕES!$F8,0)))</f>
        <v/>
      </c>
      <c r="BM8" s="57">
        <f>IF(AC8=0,0,IF(27=CARTÕES!$F8,CARTÕES!$E8-(CARTÕES!$F8-1)*ROUND(CARTÕES!$E8/CARTÕES!$F8,0),ROUND(CARTÕES!$E8/CARTÕES!$F8,0)))</f>
        <v/>
      </c>
      <c r="BN8" s="57">
        <f>IF(AD8=0,0,IF(28=CARTÕES!$F8,CARTÕES!$E8-(CARTÕES!$F8-1)*ROUND(CARTÕES!$E8/CARTÕES!$F8,0),ROUND(CARTÕES!$E8/CARTÕES!$F8,0)))</f>
        <v/>
      </c>
      <c r="BO8" s="57">
        <f>IF(AE8=0,0,IF(29=CARTÕES!$F8,CARTÕES!$E8-(CARTÕES!$F8-1)*ROUND(CARTÕES!$E8/CARTÕES!$F8,0),ROUND(CARTÕES!$E8/CARTÕES!$F8,0)))</f>
        <v/>
      </c>
      <c r="BP8" s="57">
        <f>IF(AF8=0,0,IF(30=CARTÕES!$F8,CARTÕES!$E8-(CARTÕES!$F8-1)*ROUND(CARTÕES!$E8/CARTÕES!$F8,0),ROUND(CARTÕES!$E8/CARTÕES!$F8,0)))</f>
        <v/>
      </c>
      <c r="BQ8" s="57">
        <f>IF(AG8=0,0,IF(31=CARTÕES!$F8,CARTÕES!$E8-(CARTÕES!$F8-1)*ROUND(CARTÕES!$E8/CARTÕES!$F8,0),ROUND(CARTÕES!$E8/CARTÕES!$F8,0)))</f>
        <v/>
      </c>
      <c r="BR8" s="57">
        <f>IF(AH8=0,0,IF(32=CARTÕES!$F8,CARTÕES!$E8-(CARTÕES!$F8-1)*ROUND(CARTÕES!$E8/CARTÕES!$F8,0),ROUND(CARTÕES!$E8/CARTÕES!$F8,0)))</f>
        <v/>
      </c>
      <c r="BS8" s="57">
        <f>IF(AI8=0,0,IF(33=CARTÕES!$F8,CARTÕES!$E8-(CARTÕES!$F8-1)*ROUND(CARTÕES!$E8/CARTÕES!$F8,0),ROUND(CARTÕES!$E8/CARTÕES!$F8,0)))</f>
        <v/>
      </c>
      <c r="BT8" s="57">
        <f>IF(AJ8=0,0,IF(34=CARTÕES!$F8,CARTÕES!$E8-(CARTÕES!$F8-1)*ROUND(CARTÕES!$E8/CARTÕES!$F8,0),ROUND(CARTÕES!$E8/CARTÕES!$F8,0)))</f>
        <v/>
      </c>
      <c r="BU8" s="57">
        <f>IF(AK8=0,0,IF(35=CARTÕES!$F8,CARTÕES!$E8-(CARTÕES!$F8-1)*ROUND(CARTÕES!$E8/CARTÕES!$F8,0),ROUND(CARTÕES!$E8/CARTÕES!$F8,0)))</f>
        <v/>
      </c>
      <c r="BV8" s="57">
        <f>IF(AL8=0,0,IF(36=CARTÕES!$F8,CARTÕES!$E8-(CARTÕES!$F8-1)*ROUND(CARTÕES!$E8/CARTÕES!$F8,0),ROUND(CARTÕES!$E8/CARTÕES!$F8,0)))</f>
        <v/>
      </c>
    </row>
    <row r="9">
      <c r="A9" s="55">
        <f>IF(CARTÕES!$C9="","",CARTÕES!$C9)</f>
        <v/>
      </c>
      <c r="B9" s="56">
        <f>SUMPRODUCT((C9:AL9='RESUMO MENSAL'!$C$4)*AM9:BV9)</f>
        <v/>
      </c>
      <c r="C9" s="57">
        <f>IF(OR(CARTÕES!$K9=0,CARTÕES!$F9=""),0,IF(1&gt;CARTÕES!$F9,0,CARTÕES!$K9+1-1))</f>
        <v/>
      </c>
      <c r="D9" s="57">
        <f>IF(OR(CARTÕES!$K9=0,CARTÕES!$F9=""),0,IF(2&gt;CARTÕES!$F9,0,CARTÕES!$K9+2-1))</f>
        <v/>
      </c>
      <c r="E9" s="57">
        <f>IF(OR(CARTÕES!$K9=0,CARTÕES!$F9=""),0,IF(3&gt;CARTÕES!$F9,0,CARTÕES!$K9+3-1))</f>
        <v/>
      </c>
      <c r="F9" s="57">
        <f>IF(OR(CARTÕES!$K9=0,CARTÕES!$F9=""),0,IF(4&gt;CARTÕES!$F9,0,CARTÕES!$K9+4-1))</f>
        <v/>
      </c>
      <c r="G9" s="57">
        <f>IF(OR(CARTÕES!$K9=0,CARTÕES!$F9=""),0,IF(5&gt;CARTÕES!$F9,0,CARTÕES!$K9+5-1))</f>
        <v/>
      </c>
      <c r="H9" s="57">
        <f>IF(OR(CARTÕES!$K9=0,CARTÕES!$F9=""),0,IF(6&gt;CARTÕES!$F9,0,CARTÕES!$K9+6-1))</f>
        <v/>
      </c>
      <c r="I9" s="57">
        <f>IF(OR(CARTÕES!$K9=0,CARTÕES!$F9=""),0,IF(7&gt;CARTÕES!$F9,0,CARTÕES!$K9+7-1))</f>
        <v/>
      </c>
      <c r="J9" s="57">
        <f>IF(OR(CARTÕES!$K9=0,CARTÕES!$F9=""),0,IF(8&gt;CARTÕES!$F9,0,CARTÕES!$K9+8-1))</f>
        <v/>
      </c>
      <c r="K9" s="57">
        <f>IF(OR(CARTÕES!$K9=0,CARTÕES!$F9=""),0,IF(9&gt;CARTÕES!$F9,0,CARTÕES!$K9+9-1))</f>
        <v/>
      </c>
      <c r="L9" s="57">
        <f>IF(OR(CARTÕES!$K9=0,CARTÕES!$F9=""),0,IF(10&gt;CARTÕES!$F9,0,CARTÕES!$K9+10-1))</f>
        <v/>
      </c>
      <c r="M9" s="57">
        <f>IF(OR(CARTÕES!$K9=0,CARTÕES!$F9=""),0,IF(11&gt;CARTÕES!$F9,0,CARTÕES!$K9+11-1))</f>
        <v/>
      </c>
      <c r="N9" s="57">
        <f>IF(OR(CARTÕES!$K9=0,CARTÕES!$F9=""),0,IF(12&gt;CARTÕES!$F9,0,CARTÕES!$K9+12-1))</f>
        <v/>
      </c>
      <c r="O9" s="57">
        <f>IF(OR(CARTÕES!$K9=0,CARTÕES!$F9=""),0,IF(13&gt;CARTÕES!$F9,0,CARTÕES!$K9+13-1))</f>
        <v/>
      </c>
      <c r="P9" s="57">
        <f>IF(OR(CARTÕES!$K9=0,CARTÕES!$F9=""),0,IF(14&gt;CARTÕES!$F9,0,CARTÕES!$K9+14-1))</f>
        <v/>
      </c>
      <c r="Q9" s="57">
        <f>IF(OR(CARTÕES!$K9=0,CARTÕES!$F9=""),0,IF(15&gt;CARTÕES!$F9,0,CARTÕES!$K9+15-1))</f>
        <v/>
      </c>
      <c r="R9" s="57">
        <f>IF(OR(CARTÕES!$K9=0,CARTÕES!$F9=""),0,IF(16&gt;CARTÕES!$F9,0,CARTÕES!$K9+16-1))</f>
        <v/>
      </c>
      <c r="S9" s="57">
        <f>IF(OR(CARTÕES!$K9=0,CARTÕES!$F9=""),0,IF(17&gt;CARTÕES!$F9,0,CARTÕES!$K9+17-1))</f>
        <v/>
      </c>
      <c r="T9" s="57">
        <f>IF(OR(CARTÕES!$K9=0,CARTÕES!$F9=""),0,IF(18&gt;CARTÕES!$F9,0,CARTÕES!$K9+18-1))</f>
        <v/>
      </c>
      <c r="U9" s="57">
        <f>IF(OR(CARTÕES!$K9=0,CARTÕES!$F9=""),0,IF(19&gt;CARTÕES!$F9,0,CARTÕES!$K9+19-1))</f>
        <v/>
      </c>
      <c r="V9" s="57">
        <f>IF(OR(CARTÕES!$K9=0,CARTÕES!$F9=""),0,IF(20&gt;CARTÕES!$F9,0,CARTÕES!$K9+20-1))</f>
        <v/>
      </c>
      <c r="W9" s="57">
        <f>IF(OR(CARTÕES!$K9=0,CARTÕES!$F9=""),0,IF(21&gt;CARTÕES!$F9,0,CARTÕES!$K9+21-1))</f>
        <v/>
      </c>
      <c r="X9" s="57">
        <f>IF(OR(CARTÕES!$K9=0,CARTÕES!$F9=""),0,IF(22&gt;CARTÕES!$F9,0,CARTÕES!$K9+22-1))</f>
        <v/>
      </c>
      <c r="Y9" s="57">
        <f>IF(OR(CARTÕES!$K9=0,CARTÕES!$F9=""),0,IF(23&gt;CARTÕES!$F9,0,CARTÕES!$K9+23-1))</f>
        <v/>
      </c>
      <c r="Z9" s="57">
        <f>IF(OR(CARTÕES!$K9=0,CARTÕES!$F9=""),0,IF(24&gt;CARTÕES!$F9,0,CARTÕES!$K9+24-1))</f>
        <v/>
      </c>
      <c r="AA9" s="57">
        <f>IF(OR(CARTÕES!$K9=0,CARTÕES!$F9=""),0,IF(25&gt;CARTÕES!$F9,0,CARTÕES!$K9+25-1))</f>
        <v/>
      </c>
      <c r="AB9" s="57">
        <f>IF(OR(CARTÕES!$K9=0,CARTÕES!$F9=""),0,IF(26&gt;CARTÕES!$F9,0,CARTÕES!$K9+26-1))</f>
        <v/>
      </c>
      <c r="AC9" s="57">
        <f>IF(OR(CARTÕES!$K9=0,CARTÕES!$F9=""),0,IF(27&gt;CARTÕES!$F9,0,CARTÕES!$K9+27-1))</f>
        <v/>
      </c>
      <c r="AD9" s="57">
        <f>IF(OR(CARTÕES!$K9=0,CARTÕES!$F9=""),0,IF(28&gt;CARTÕES!$F9,0,CARTÕES!$K9+28-1))</f>
        <v/>
      </c>
      <c r="AE9" s="57">
        <f>IF(OR(CARTÕES!$K9=0,CARTÕES!$F9=""),0,IF(29&gt;CARTÕES!$F9,0,CARTÕES!$K9+29-1))</f>
        <v/>
      </c>
      <c r="AF9" s="57">
        <f>IF(OR(CARTÕES!$K9=0,CARTÕES!$F9=""),0,IF(30&gt;CARTÕES!$F9,0,CARTÕES!$K9+30-1))</f>
        <v/>
      </c>
      <c r="AG9" s="57">
        <f>IF(OR(CARTÕES!$K9=0,CARTÕES!$F9=""),0,IF(31&gt;CARTÕES!$F9,0,CARTÕES!$K9+31-1))</f>
        <v/>
      </c>
      <c r="AH9" s="57">
        <f>IF(OR(CARTÕES!$K9=0,CARTÕES!$F9=""),0,IF(32&gt;CARTÕES!$F9,0,CARTÕES!$K9+32-1))</f>
        <v/>
      </c>
      <c r="AI9" s="57">
        <f>IF(OR(CARTÕES!$K9=0,CARTÕES!$F9=""),0,IF(33&gt;CARTÕES!$F9,0,CARTÕES!$K9+33-1))</f>
        <v/>
      </c>
      <c r="AJ9" s="57">
        <f>IF(OR(CARTÕES!$K9=0,CARTÕES!$F9=""),0,IF(34&gt;CARTÕES!$F9,0,CARTÕES!$K9+34-1))</f>
        <v/>
      </c>
      <c r="AK9" s="57">
        <f>IF(OR(CARTÕES!$K9=0,CARTÕES!$F9=""),0,IF(35&gt;CARTÕES!$F9,0,CARTÕES!$K9+35-1))</f>
        <v/>
      </c>
      <c r="AL9" s="57">
        <f>IF(OR(CARTÕES!$K9=0,CARTÕES!$F9=""),0,IF(36&gt;CARTÕES!$F9,0,CARTÕES!$K9+36-1))</f>
        <v/>
      </c>
      <c r="AM9" s="57">
        <f>IF(C9=0,0,IF(1=CARTÕES!$F9,CARTÕES!$E9-(CARTÕES!$F9-1)*ROUND(CARTÕES!$E9/CARTÕES!$F9,0),ROUND(CARTÕES!$E9/CARTÕES!$F9,0)))</f>
        <v/>
      </c>
      <c r="AN9" s="57">
        <f>IF(D9=0,0,IF(2=CARTÕES!$F9,CARTÕES!$E9-(CARTÕES!$F9-1)*ROUND(CARTÕES!$E9/CARTÕES!$F9,0),ROUND(CARTÕES!$E9/CARTÕES!$F9,0)))</f>
        <v/>
      </c>
      <c r="AO9" s="57">
        <f>IF(E9=0,0,IF(3=CARTÕES!$F9,CARTÕES!$E9-(CARTÕES!$F9-1)*ROUND(CARTÕES!$E9/CARTÕES!$F9,0),ROUND(CARTÕES!$E9/CARTÕES!$F9,0)))</f>
        <v/>
      </c>
      <c r="AP9" s="57">
        <f>IF(F9=0,0,IF(4=CARTÕES!$F9,CARTÕES!$E9-(CARTÕES!$F9-1)*ROUND(CARTÕES!$E9/CARTÕES!$F9,0),ROUND(CARTÕES!$E9/CARTÕES!$F9,0)))</f>
        <v/>
      </c>
      <c r="AQ9" s="57">
        <f>IF(G9=0,0,IF(5=CARTÕES!$F9,CARTÕES!$E9-(CARTÕES!$F9-1)*ROUND(CARTÕES!$E9/CARTÕES!$F9,0),ROUND(CARTÕES!$E9/CARTÕES!$F9,0)))</f>
        <v/>
      </c>
      <c r="AR9" s="57">
        <f>IF(H9=0,0,IF(6=CARTÕES!$F9,CARTÕES!$E9-(CARTÕES!$F9-1)*ROUND(CARTÕES!$E9/CARTÕES!$F9,0),ROUND(CARTÕES!$E9/CARTÕES!$F9,0)))</f>
        <v/>
      </c>
      <c r="AS9" s="57">
        <f>IF(I9=0,0,IF(7=CARTÕES!$F9,CARTÕES!$E9-(CARTÕES!$F9-1)*ROUND(CARTÕES!$E9/CARTÕES!$F9,0),ROUND(CARTÕES!$E9/CARTÕES!$F9,0)))</f>
        <v/>
      </c>
      <c r="AT9" s="57">
        <f>IF(J9=0,0,IF(8=CARTÕES!$F9,CARTÕES!$E9-(CARTÕES!$F9-1)*ROUND(CARTÕES!$E9/CARTÕES!$F9,0),ROUND(CARTÕES!$E9/CARTÕES!$F9,0)))</f>
        <v/>
      </c>
      <c r="AU9" s="57">
        <f>IF(K9=0,0,IF(9=CARTÕES!$F9,CARTÕES!$E9-(CARTÕES!$F9-1)*ROUND(CARTÕES!$E9/CARTÕES!$F9,0),ROUND(CARTÕES!$E9/CARTÕES!$F9,0)))</f>
        <v/>
      </c>
      <c r="AV9" s="57">
        <f>IF(L9=0,0,IF(10=CARTÕES!$F9,CARTÕES!$E9-(CARTÕES!$F9-1)*ROUND(CARTÕES!$E9/CARTÕES!$F9,0),ROUND(CARTÕES!$E9/CARTÕES!$F9,0)))</f>
        <v/>
      </c>
      <c r="AW9" s="57">
        <f>IF(M9=0,0,IF(11=CARTÕES!$F9,CARTÕES!$E9-(CARTÕES!$F9-1)*ROUND(CARTÕES!$E9/CARTÕES!$F9,0),ROUND(CARTÕES!$E9/CARTÕES!$F9,0)))</f>
        <v/>
      </c>
      <c r="AX9" s="57">
        <f>IF(N9=0,0,IF(12=CARTÕES!$F9,CARTÕES!$E9-(CARTÕES!$F9-1)*ROUND(CARTÕES!$E9/CARTÕES!$F9,0),ROUND(CARTÕES!$E9/CARTÕES!$F9,0)))</f>
        <v/>
      </c>
      <c r="AY9" s="57">
        <f>IF(O9=0,0,IF(13=CARTÕES!$F9,CARTÕES!$E9-(CARTÕES!$F9-1)*ROUND(CARTÕES!$E9/CARTÕES!$F9,0),ROUND(CARTÕES!$E9/CARTÕES!$F9,0)))</f>
        <v/>
      </c>
      <c r="AZ9" s="57">
        <f>IF(P9=0,0,IF(14=CARTÕES!$F9,CARTÕES!$E9-(CARTÕES!$F9-1)*ROUND(CARTÕES!$E9/CARTÕES!$F9,0),ROUND(CARTÕES!$E9/CARTÕES!$F9,0)))</f>
        <v/>
      </c>
      <c r="BA9" s="57">
        <f>IF(Q9=0,0,IF(15=CARTÕES!$F9,CARTÕES!$E9-(CARTÕES!$F9-1)*ROUND(CARTÕES!$E9/CARTÕES!$F9,0),ROUND(CARTÕES!$E9/CARTÕES!$F9,0)))</f>
        <v/>
      </c>
      <c r="BB9" s="57">
        <f>IF(R9=0,0,IF(16=CARTÕES!$F9,CARTÕES!$E9-(CARTÕES!$F9-1)*ROUND(CARTÕES!$E9/CARTÕES!$F9,0),ROUND(CARTÕES!$E9/CARTÕES!$F9,0)))</f>
        <v/>
      </c>
      <c r="BC9" s="57">
        <f>IF(S9=0,0,IF(17=CARTÕES!$F9,CARTÕES!$E9-(CARTÕES!$F9-1)*ROUND(CARTÕES!$E9/CARTÕES!$F9,0),ROUND(CARTÕES!$E9/CARTÕES!$F9,0)))</f>
        <v/>
      </c>
      <c r="BD9" s="57">
        <f>IF(T9=0,0,IF(18=CARTÕES!$F9,CARTÕES!$E9-(CARTÕES!$F9-1)*ROUND(CARTÕES!$E9/CARTÕES!$F9,0),ROUND(CARTÕES!$E9/CARTÕES!$F9,0)))</f>
        <v/>
      </c>
      <c r="BE9" s="57">
        <f>IF(U9=0,0,IF(19=CARTÕES!$F9,CARTÕES!$E9-(CARTÕES!$F9-1)*ROUND(CARTÕES!$E9/CARTÕES!$F9,0),ROUND(CARTÕES!$E9/CARTÕES!$F9,0)))</f>
        <v/>
      </c>
      <c r="BF9" s="57">
        <f>IF(V9=0,0,IF(20=CARTÕES!$F9,CARTÕES!$E9-(CARTÕES!$F9-1)*ROUND(CARTÕES!$E9/CARTÕES!$F9,0),ROUND(CARTÕES!$E9/CARTÕES!$F9,0)))</f>
        <v/>
      </c>
      <c r="BG9" s="57">
        <f>IF(W9=0,0,IF(21=CARTÕES!$F9,CARTÕES!$E9-(CARTÕES!$F9-1)*ROUND(CARTÕES!$E9/CARTÕES!$F9,0),ROUND(CARTÕES!$E9/CARTÕES!$F9,0)))</f>
        <v/>
      </c>
      <c r="BH9" s="57">
        <f>IF(X9=0,0,IF(22=CARTÕES!$F9,CARTÕES!$E9-(CARTÕES!$F9-1)*ROUND(CARTÕES!$E9/CARTÕES!$F9,0),ROUND(CARTÕES!$E9/CARTÕES!$F9,0)))</f>
        <v/>
      </c>
      <c r="BI9" s="57">
        <f>IF(Y9=0,0,IF(23=CARTÕES!$F9,CARTÕES!$E9-(CARTÕES!$F9-1)*ROUND(CARTÕES!$E9/CARTÕES!$F9,0),ROUND(CARTÕES!$E9/CARTÕES!$F9,0)))</f>
        <v/>
      </c>
      <c r="BJ9" s="57">
        <f>IF(Z9=0,0,IF(24=CARTÕES!$F9,CARTÕES!$E9-(CARTÕES!$F9-1)*ROUND(CARTÕES!$E9/CARTÕES!$F9,0),ROUND(CARTÕES!$E9/CARTÕES!$F9,0)))</f>
        <v/>
      </c>
      <c r="BK9" s="57">
        <f>IF(AA9=0,0,IF(25=CARTÕES!$F9,CARTÕES!$E9-(CARTÕES!$F9-1)*ROUND(CARTÕES!$E9/CARTÕES!$F9,0),ROUND(CARTÕES!$E9/CARTÕES!$F9,0)))</f>
        <v/>
      </c>
      <c r="BL9" s="57">
        <f>IF(AB9=0,0,IF(26=CARTÕES!$F9,CARTÕES!$E9-(CARTÕES!$F9-1)*ROUND(CARTÕES!$E9/CARTÕES!$F9,0),ROUND(CARTÕES!$E9/CARTÕES!$F9,0)))</f>
        <v/>
      </c>
      <c r="BM9" s="57">
        <f>IF(AC9=0,0,IF(27=CARTÕES!$F9,CARTÕES!$E9-(CARTÕES!$F9-1)*ROUND(CARTÕES!$E9/CARTÕES!$F9,0),ROUND(CARTÕES!$E9/CARTÕES!$F9,0)))</f>
        <v/>
      </c>
      <c r="BN9" s="57">
        <f>IF(AD9=0,0,IF(28=CARTÕES!$F9,CARTÕES!$E9-(CARTÕES!$F9-1)*ROUND(CARTÕES!$E9/CARTÕES!$F9,0),ROUND(CARTÕES!$E9/CARTÕES!$F9,0)))</f>
        <v/>
      </c>
      <c r="BO9" s="57">
        <f>IF(AE9=0,0,IF(29=CARTÕES!$F9,CARTÕES!$E9-(CARTÕES!$F9-1)*ROUND(CARTÕES!$E9/CARTÕES!$F9,0),ROUND(CARTÕES!$E9/CARTÕES!$F9,0)))</f>
        <v/>
      </c>
      <c r="BP9" s="57">
        <f>IF(AF9=0,0,IF(30=CARTÕES!$F9,CARTÕES!$E9-(CARTÕES!$F9-1)*ROUND(CARTÕES!$E9/CARTÕES!$F9,0),ROUND(CARTÕES!$E9/CARTÕES!$F9,0)))</f>
        <v/>
      </c>
      <c r="BQ9" s="57">
        <f>IF(AG9=0,0,IF(31=CARTÕES!$F9,CARTÕES!$E9-(CARTÕES!$F9-1)*ROUND(CARTÕES!$E9/CARTÕES!$F9,0),ROUND(CARTÕES!$E9/CARTÕES!$F9,0)))</f>
        <v/>
      </c>
      <c r="BR9" s="57">
        <f>IF(AH9=0,0,IF(32=CARTÕES!$F9,CARTÕES!$E9-(CARTÕES!$F9-1)*ROUND(CARTÕES!$E9/CARTÕES!$F9,0),ROUND(CARTÕES!$E9/CARTÕES!$F9,0)))</f>
        <v/>
      </c>
      <c r="BS9" s="57">
        <f>IF(AI9=0,0,IF(33=CARTÕES!$F9,CARTÕES!$E9-(CARTÕES!$F9-1)*ROUND(CARTÕES!$E9/CARTÕES!$F9,0),ROUND(CARTÕES!$E9/CARTÕES!$F9,0)))</f>
        <v/>
      </c>
      <c r="BT9" s="57">
        <f>IF(AJ9=0,0,IF(34=CARTÕES!$F9,CARTÕES!$E9-(CARTÕES!$F9-1)*ROUND(CARTÕES!$E9/CARTÕES!$F9,0),ROUND(CARTÕES!$E9/CARTÕES!$F9,0)))</f>
        <v/>
      </c>
      <c r="BU9" s="57">
        <f>IF(AK9=0,0,IF(35=CARTÕES!$F9,CARTÕES!$E9-(CARTÕES!$F9-1)*ROUND(CARTÕES!$E9/CARTÕES!$F9,0),ROUND(CARTÕES!$E9/CARTÕES!$F9,0)))</f>
        <v/>
      </c>
      <c r="BV9" s="57">
        <f>IF(AL9=0,0,IF(36=CARTÕES!$F9,CARTÕES!$E9-(CARTÕES!$F9-1)*ROUND(CARTÕES!$E9/CARTÕES!$F9,0),ROUND(CARTÕES!$E9/CARTÕES!$F9,0)))</f>
        <v/>
      </c>
    </row>
    <row r="10">
      <c r="A10" s="55">
        <f>IF(CARTÕES!$C10="","",CARTÕES!$C10)</f>
        <v/>
      </c>
      <c r="B10" s="56">
        <f>SUMPRODUCT((C10:AL10='RESUMO MENSAL'!$C$4)*AM10:BV10)</f>
        <v/>
      </c>
      <c r="C10" s="57">
        <f>IF(OR(CARTÕES!$K10=0,CARTÕES!$F10=""),0,IF(1&gt;CARTÕES!$F10,0,CARTÕES!$K10+1-1))</f>
        <v/>
      </c>
      <c r="D10" s="57">
        <f>IF(OR(CARTÕES!$K10=0,CARTÕES!$F10=""),0,IF(2&gt;CARTÕES!$F10,0,CARTÕES!$K10+2-1))</f>
        <v/>
      </c>
      <c r="E10" s="57">
        <f>IF(OR(CARTÕES!$K10=0,CARTÕES!$F10=""),0,IF(3&gt;CARTÕES!$F10,0,CARTÕES!$K10+3-1))</f>
        <v/>
      </c>
      <c r="F10" s="57">
        <f>IF(OR(CARTÕES!$K10=0,CARTÕES!$F10=""),0,IF(4&gt;CARTÕES!$F10,0,CARTÕES!$K10+4-1))</f>
        <v/>
      </c>
      <c r="G10" s="57">
        <f>IF(OR(CARTÕES!$K10=0,CARTÕES!$F10=""),0,IF(5&gt;CARTÕES!$F10,0,CARTÕES!$K10+5-1))</f>
        <v/>
      </c>
      <c r="H10" s="57">
        <f>IF(OR(CARTÕES!$K10=0,CARTÕES!$F10=""),0,IF(6&gt;CARTÕES!$F10,0,CARTÕES!$K10+6-1))</f>
        <v/>
      </c>
      <c r="I10" s="57">
        <f>IF(OR(CARTÕES!$K10=0,CARTÕES!$F10=""),0,IF(7&gt;CARTÕES!$F10,0,CARTÕES!$K10+7-1))</f>
        <v/>
      </c>
      <c r="J10" s="57">
        <f>IF(OR(CARTÕES!$K10=0,CARTÕES!$F10=""),0,IF(8&gt;CARTÕES!$F10,0,CARTÕES!$K10+8-1))</f>
        <v/>
      </c>
      <c r="K10" s="57">
        <f>IF(OR(CARTÕES!$K10=0,CARTÕES!$F10=""),0,IF(9&gt;CARTÕES!$F10,0,CARTÕES!$K10+9-1))</f>
        <v/>
      </c>
      <c r="L10" s="57">
        <f>IF(OR(CARTÕES!$K10=0,CARTÕES!$F10=""),0,IF(10&gt;CARTÕES!$F10,0,CARTÕES!$K10+10-1))</f>
        <v/>
      </c>
      <c r="M10" s="57">
        <f>IF(OR(CARTÕES!$K10=0,CARTÕES!$F10=""),0,IF(11&gt;CARTÕES!$F10,0,CARTÕES!$K10+11-1))</f>
        <v/>
      </c>
      <c r="N10" s="57">
        <f>IF(OR(CARTÕES!$K10=0,CARTÕES!$F10=""),0,IF(12&gt;CARTÕES!$F10,0,CARTÕES!$K10+12-1))</f>
        <v/>
      </c>
      <c r="O10" s="57">
        <f>IF(OR(CARTÕES!$K10=0,CARTÕES!$F10=""),0,IF(13&gt;CARTÕES!$F10,0,CARTÕES!$K10+13-1))</f>
        <v/>
      </c>
      <c r="P10" s="57">
        <f>IF(OR(CARTÕES!$K10=0,CARTÕES!$F10=""),0,IF(14&gt;CARTÕES!$F10,0,CARTÕES!$K10+14-1))</f>
        <v/>
      </c>
      <c r="Q10" s="57">
        <f>IF(OR(CARTÕES!$K10=0,CARTÕES!$F10=""),0,IF(15&gt;CARTÕES!$F10,0,CARTÕES!$K10+15-1))</f>
        <v/>
      </c>
      <c r="R10" s="57">
        <f>IF(OR(CARTÕES!$K10=0,CARTÕES!$F10=""),0,IF(16&gt;CARTÕES!$F10,0,CARTÕES!$K10+16-1))</f>
        <v/>
      </c>
      <c r="S10" s="57">
        <f>IF(OR(CARTÕES!$K10=0,CARTÕES!$F10=""),0,IF(17&gt;CARTÕES!$F10,0,CARTÕES!$K10+17-1))</f>
        <v/>
      </c>
      <c r="T10" s="57">
        <f>IF(OR(CARTÕES!$K10=0,CARTÕES!$F10=""),0,IF(18&gt;CARTÕES!$F10,0,CARTÕES!$K10+18-1))</f>
        <v/>
      </c>
      <c r="U10" s="57">
        <f>IF(OR(CARTÕES!$K10=0,CARTÕES!$F10=""),0,IF(19&gt;CARTÕES!$F10,0,CARTÕES!$K10+19-1))</f>
        <v/>
      </c>
      <c r="V10" s="57">
        <f>IF(OR(CARTÕES!$K10=0,CARTÕES!$F10=""),0,IF(20&gt;CARTÕES!$F10,0,CARTÕES!$K10+20-1))</f>
        <v/>
      </c>
      <c r="W10" s="57">
        <f>IF(OR(CARTÕES!$K10=0,CARTÕES!$F10=""),0,IF(21&gt;CARTÕES!$F10,0,CARTÕES!$K10+21-1))</f>
        <v/>
      </c>
      <c r="X10" s="57">
        <f>IF(OR(CARTÕES!$K10=0,CARTÕES!$F10=""),0,IF(22&gt;CARTÕES!$F10,0,CARTÕES!$K10+22-1))</f>
        <v/>
      </c>
      <c r="Y10" s="57">
        <f>IF(OR(CARTÕES!$K10=0,CARTÕES!$F10=""),0,IF(23&gt;CARTÕES!$F10,0,CARTÕES!$K10+23-1))</f>
        <v/>
      </c>
      <c r="Z10" s="57">
        <f>IF(OR(CARTÕES!$K10=0,CARTÕES!$F10=""),0,IF(24&gt;CARTÕES!$F10,0,CARTÕES!$K10+24-1))</f>
        <v/>
      </c>
      <c r="AA10" s="57">
        <f>IF(OR(CARTÕES!$K10=0,CARTÕES!$F10=""),0,IF(25&gt;CARTÕES!$F10,0,CARTÕES!$K10+25-1))</f>
        <v/>
      </c>
      <c r="AB10" s="57">
        <f>IF(OR(CARTÕES!$K10=0,CARTÕES!$F10=""),0,IF(26&gt;CARTÕES!$F10,0,CARTÕES!$K10+26-1))</f>
        <v/>
      </c>
      <c r="AC10" s="57">
        <f>IF(OR(CARTÕES!$K10=0,CARTÕES!$F10=""),0,IF(27&gt;CARTÕES!$F10,0,CARTÕES!$K10+27-1))</f>
        <v/>
      </c>
      <c r="AD10" s="57">
        <f>IF(OR(CARTÕES!$K10=0,CARTÕES!$F10=""),0,IF(28&gt;CARTÕES!$F10,0,CARTÕES!$K10+28-1))</f>
        <v/>
      </c>
      <c r="AE10" s="57">
        <f>IF(OR(CARTÕES!$K10=0,CARTÕES!$F10=""),0,IF(29&gt;CARTÕES!$F10,0,CARTÕES!$K10+29-1))</f>
        <v/>
      </c>
      <c r="AF10" s="57">
        <f>IF(OR(CARTÕES!$K10=0,CARTÕES!$F10=""),0,IF(30&gt;CARTÕES!$F10,0,CARTÕES!$K10+30-1))</f>
        <v/>
      </c>
      <c r="AG10" s="57">
        <f>IF(OR(CARTÕES!$K10=0,CARTÕES!$F10=""),0,IF(31&gt;CARTÕES!$F10,0,CARTÕES!$K10+31-1))</f>
        <v/>
      </c>
      <c r="AH10" s="57">
        <f>IF(OR(CARTÕES!$K10=0,CARTÕES!$F10=""),0,IF(32&gt;CARTÕES!$F10,0,CARTÕES!$K10+32-1))</f>
        <v/>
      </c>
      <c r="AI10" s="57">
        <f>IF(OR(CARTÕES!$K10=0,CARTÕES!$F10=""),0,IF(33&gt;CARTÕES!$F10,0,CARTÕES!$K10+33-1))</f>
        <v/>
      </c>
      <c r="AJ10" s="57">
        <f>IF(OR(CARTÕES!$K10=0,CARTÕES!$F10=""),0,IF(34&gt;CARTÕES!$F10,0,CARTÕES!$K10+34-1))</f>
        <v/>
      </c>
      <c r="AK10" s="57">
        <f>IF(OR(CARTÕES!$K10=0,CARTÕES!$F10=""),0,IF(35&gt;CARTÕES!$F10,0,CARTÕES!$K10+35-1))</f>
        <v/>
      </c>
      <c r="AL10" s="57">
        <f>IF(OR(CARTÕES!$K10=0,CARTÕES!$F10=""),0,IF(36&gt;CARTÕES!$F10,0,CARTÕES!$K10+36-1))</f>
        <v/>
      </c>
      <c r="AM10" s="57">
        <f>IF(C10=0,0,IF(1=CARTÕES!$F10,CARTÕES!$E10-(CARTÕES!$F10-1)*ROUND(CARTÕES!$E10/CARTÕES!$F10,0),ROUND(CARTÕES!$E10/CARTÕES!$F10,0)))</f>
        <v/>
      </c>
      <c r="AN10" s="57">
        <f>IF(D10=0,0,IF(2=CARTÕES!$F10,CARTÕES!$E10-(CARTÕES!$F10-1)*ROUND(CARTÕES!$E10/CARTÕES!$F10,0),ROUND(CARTÕES!$E10/CARTÕES!$F10,0)))</f>
        <v/>
      </c>
      <c r="AO10" s="57">
        <f>IF(E10=0,0,IF(3=CARTÕES!$F10,CARTÕES!$E10-(CARTÕES!$F10-1)*ROUND(CARTÕES!$E10/CARTÕES!$F10,0),ROUND(CARTÕES!$E10/CARTÕES!$F10,0)))</f>
        <v/>
      </c>
      <c r="AP10" s="57">
        <f>IF(F10=0,0,IF(4=CARTÕES!$F10,CARTÕES!$E10-(CARTÕES!$F10-1)*ROUND(CARTÕES!$E10/CARTÕES!$F10,0),ROUND(CARTÕES!$E10/CARTÕES!$F10,0)))</f>
        <v/>
      </c>
      <c r="AQ10" s="57">
        <f>IF(G10=0,0,IF(5=CARTÕES!$F10,CARTÕES!$E10-(CARTÕES!$F10-1)*ROUND(CARTÕES!$E10/CARTÕES!$F10,0),ROUND(CARTÕES!$E10/CARTÕES!$F10,0)))</f>
        <v/>
      </c>
      <c r="AR10" s="57">
        <f>IF(H10=0,0,IF(6=CARTÕES!$F10,CARTÕES!$E10-(CARTÕES!$F10-1)*ROUND(CARTÕES!$E10/CARTÕES!$F10,0),ROUND(CARTÕES!$E10/CARTÕES!$F10,0)))</f>
        <v/>
      </c>
      <c r="AS10" s="57">
        <f>IF(I10=0,0,IF(7=CARTÕES!$F10,CARTÕES!$E10-(CARTÕES!$F10-1)*ROUND(CARTÕES!$E10/CARTÕES!$F10,0),ROUND(CARTÕES!$E10/CARTÕES!$F10,0)))</f>
        <v/>
      </c>
      <c r="AT10" s="57">
        <f>IF(J10=0,0,IF(8=CARTÕES!$F10,CARTÕES!$E10-(CARTÕES!$F10-1)*ROUND(CARTÕES!$E10/CARTÕES!$F10,0),ROUND(CARTÕES!$E10/CARTÕES!$F10,0)))</f>
        <v/>
      </c>
      <c r="AU10" s="57">
        <f>IF(K10=0,0,IF(9=CARTÕES!$F10,CARTÕES!$E10-(CARTÕES!$F10-1)*ROUND(CARTÕES!$E10/CARTÕES!$F10,0),ROUND(CARTÕES!$E10/CARTÕES!$F10,0)))</f>
        <v/>
      </c>
      <c r="AV10" s="57">
        <f>IF(L10=0,0,IF(10=CARTÕES!$F10,CARTÕES!$E10-(CARTÕES!$F10-1)*ROUND(CARTÕES!$E10/CARTÕES!$F10,0),ROUND(CARTÕES!$E10/CARTÕES!$F10,0)))</f>
        <v/>
      </c>
      <c r="AW10" s="57">
        <f>IF(M10=0,0,IF(11=CARTÕES!$F10,CARTÕES!$E10-(CARTÕES!$F10-1)*ROUND(CARTÕES!$E10/CARTÕES!$F10,0),ROUND(CARTÕES!$E10/CARTÕES!$F10,0)))</f>
        <v/>
      </c>
      <c r="AX10" s="57">
        <f>IF(N10=0,0,IF(12=CARTÕES!$F10,CARTÕES!$E10-(CARTÕES!$F10-1)*ROUND(CARTÕES!$E10/CARTÕES!$F10,0),ROUND(CARTÕES!$E10/CARTÕES!$F10,0)))</f>
        <v/>
      </c>
      <c r="AY10" s="57">
        <f>IF(O10=0,0,IF(13=CARTÕES!$F10,CARTÕES!$E10-(CARTÕES!$F10-1)*ROUND(CARTÕES!$E10/CARTÕES!$F10,0),ROUND(CARTÕES!$E10/CARTÕES!$F10,0)))</f>
        <v/>
      </c>
      <c r="AZ10" s="57">
        <f>IF(P10=0,0,IF(14=CARTÕES!$F10,CARTÕES!$E10-(CARTÕES!$F10-1)*ROUND(CARTÕES!$E10/CARTÕES!$F10,0),ROUND(CARTÕES!$E10/CARTÕES!$F10,0)))</f>
        <v/>
      </c>
      <c r="BA10" s="57">
        <f>IF(Q10=0,0,IF(15=CARTÕES!$F10,CARTÕES!$E10-(CARTÕES!$F10-1)*ROUND(CARTÕES!$E10/CARTÕES!$F10,0),ROUND(CARTÕES!$E10/CARTÕES!$F10,0)))</f>
        <v/>
      </c>
      <c r="BB10" s="57">
        <f>IF(R10=0,0,IF(16=CARTÕES!$F10,CARTÕES!$E10-(CARTÕES!$F10-1)*ROUND(CARTÕES!$E10/CARTÕES!$F10,0),ROUND(CARTÕES!$E10/CARTÕES!$F10,0)))</f>
        <v/>
      </c>
      <c r="BC10" s="57">
        <f>IF(S10=0,0,IF(17=CARTÕES!$F10,CARTÕES!$E10-(CARTÕES!$F10-1)*ROUND(CARTÕES!$E10/CARTÕES!$F10,0),ROUND(CARTÕES!$E10/CARTÕES!$F10,0)))</f>
        <v/>
      </c>
      <c r="BD10" s="57">
        <f>IF(T10=0,0,IF(18=CARTÕES!$F10,CARTÕES!$E10-(CARTÕES!$F10-1)*ROUND(CARTÕES!$E10/CARTÕES!$F10,0),ROUND(CARTÕES!$E10/CARTÕES!$F10,0)))</f>
        <v/>
      </c>
      <c r="BE10" s="57">
        <f>IF(U10=0,0,IF(19=CARTÕES!$F10,CARTÕES!$E10-(CARTÕES!$F10-1)*ROUND(CARTÕES!$E10/CARTÕES!$F10,0),ROUND(CARTÕES!$E10/CARTÕES!$F10,0)))</f>
        <v/>
      </c>
      <c r="BF10" s="57">
        <f>IF(V10=0,0,IF(20=CARTÕES!$F10,CARTÕES!$E10-(CARTÕES!$F10-1)*ROUND(CARTÕES!$E10/CARTÕES!$F10,0),ROUND(CARTÕES!$E10/CARTÕES!$F10,0)))</f>
        <v/>
      </c>
      <c r="BG10" s="57">
        <f>IF(W10=0,0,IF(21=CARTÕES!$F10,CARTÕES!$E10-(CARTÕES!$F10-1)*ROUND(CARTÕES!$E10/CARTÕES!$F10,0),ROUND(CARTÕES!$E10/CARTÕES!$F10,0)))</f>
        <v/>
      </c>
      <c r="BH10" s="57">
        <f>IF(X10=0,0,IF(22=CARTÕES!$F10,CARTÕES!$E10-(CARTÕES!$F10-1)*ROUND(CARTÕES!$E10/CARTÕES!$F10,0),ROUND(CARTÕES!$E10/CARTÕES!$F10,0)))</f>
        <v/>
      </c>
      <c r="BI10" s="57">
        <f>IF(Y10=0,0,IF(23=CARTÕES!$F10,CARTÕES!$E10-(CARTÕES!$F10-1)*ROUND(CARTÕES!$E10/CARTÕES!$F10,0),ROUND(CARTÕES!$E10/CARTÕES!$F10,0)))</f>
        <v/>
      </c>
      <c r="BJ10" s="57">
        <f>IF(Z10=0,0,IF(24=CARTÕES!$F10,CARTÕES!$E10-(CARTÕES!$F10-1)*ROUND(CARTÕES!$E10/CARTÕES!$F10,0),ROUND(CARTÕES!$E10/CARTÕES!$F10,0)))</f>
        <v/>
      </c>
      <c r="BK10" s="57">
        <f>IF(AA10=0,0,IF(25=CARTÕES!$F10,CARTÕES!$E10-(CARTÕES!$F10-1)*ROUND(CARTÕES!$E10/CARTÕES!$F10,0),ROUND(CARTÕES!$E10/CARTÕES!$F10,0)))</f>
        <v/>
      </c>
      <c r="BL10" s="57">
        <f>IF(AB10=0,0,IF(26=CARTÕES!$F10,CARTÕES!$E10-(CARTÕES!$F10-1)*ROUND(CARTÕES!$E10/CARTÕES!$F10,0),ROUND(CARTÕES!$E10/CARTÕES!$F10,0)))</f>
        <v/>
      </c>
      <c r="BM10" s="57">
        <f>IF(AC10=0,0,IF(27=CARTÕES!$F10,CARTÕES!$E10-(CARTÕES!$F10-1)*ROUND(CARTÕES!$E10/CARTÕES!$F10,0),ROUND(CARTÕES!$E10/CARTÕES!$F10,0)))</f>
        <v/>
      </c>
      <c r="BN10" s="57">
        <f>IF(AD10=0,0,IF(28=CARTÕES!$F10,CARTÕES!$E10-(CARTÕES!$F10-1)*ROUND(CARTÕES!$E10/CARTÕES!$F10,0),ROUND(CARTÕES!$E10/CARTÕES!$F10,0)))</f>
        <v/>
      </c>
      <c r="BO10" s="57">
        <f>IF(AE10=0,0,IF(29=CARTÕES!$F10,CARTÕES!$E10-(CARTÕES!$F10-1)*ROUND(CARTÕES!$E10/CARTÕES!$F10,0),ROUND(CARTÕES!$E10/CARTÕES!$F10,0)))</f>
        <v/>
      </c>
      <c r="BP10" s="57">
        <f>IF(AF10=0,0,IF(30=CARTÕES!$F10,CARTÕES!$E10-(CARTÕES!$F10-1)*ROUND(CARTÕES!$E10/CARTÕES!$F10,0),ROUND(CARTÕES!$E10/CARTÕES!$F10,0)))</f>
        <v/>
      </c>
      <c r="BQ10" s="57">
        <f>IF(AG10=0,0,IF(31=CARTÕES!$F10,CARTÕES!$E10-(CARTÕES!$F10-1)*ROUND(CARTÕES!$E10/CARTÕES!$F10,0),ROUND(CARTÕES!$E10/CARTÕES!$F10,0)))</f>
        <v/>
      </c>
      <c r="BR10" s="57">
        <f>IF(AH10=0,0,IF(32=CARTÕES!$F10,CARTÕES!$E10-(CARTÕES!$F10-1)*ROUND(CARTÕES!$E10/CARTÕES!$F10,0),ROUND(CARTÕES!$E10/CARTÕES!$F10,0)))</f>
        <v/>
      </c>
      <c r="BS10" s="57">
        <f>IF(AI10=0,0,IF(33=CARTÕES!$F10,CARTÕES!$E10-(CARTÕES!$F10-1)*ROUND(CARTÕES!$E10/CARTÕES!$F10,0),ROUND(CARTÕES!$E10/CARTÕES!$F10,0)))</f>
        <v/>
      </c>
      <c r="BT10" s="57">
        <f>IF(AJ10=0,0,IF(34=CARTÕES!$F10,CARTÕES!$E10-(CARTÕES!$F10-1)*ROUND(CARTÕES!$E10/CARTÕES!$F10,0),ROUND(CARTÕES!$E10/CARTÕES!$F10,0)))</f>
        <v/>
      </c>
      <c r="BU10" s="57">
        <f>IF(AK10=0,0,IF(35=CARTÕES!$F10,CARTÕES!$E10-(CARTÕES!$F10-1)*ROUND(CARTÕES!$E10/CARTÕES!$F10,0),ROUND(CARTÕES!$E10/CARTÕES!$F10,0)))</f>
        <v/>
      </c>
      <c r="BV10" s="57">
        <f>IF(AL10=0,0,IF(36=CARTÕES!$F10,CARTÕES!$E10-(CARTÕES!$F10-1)*ROUND(CARTÕES!$E10/CARTÕES!$F10,0),ROUND(CARTÕES!$E10/CARTÕES!$F10,0)))</f>
        <v/>
      </c>
    </row>
    <row r="11">
      <c r="A11" s="55">
        <f>IF(CARTÕES!$C11="","",CARTÕES!$C11)</f>
        <v/>
      </c>
      <c r="B11" s="56">
        <f>SUMPRODUCT((C11:AL11='RESUMO MENSAL'!$C$4)*AM11:BV11)</f>
        <v/>
      </c>
      <c r="C11" s="57">
        <f>IF(OR(CARTÕES!$K11=0,CARTÕES!$F11=""),0,IF(1&gt;CARTÕES!$F11,0,CARTÕES!$K11+1-1))</f>
        <v/>
      </c>
      <c r="D11" s="57">
        <f>IF(OR(CARTÕES!$K11=0,CARTÕES!$F11=""),0,IF(2&gt;CARTÕES!$F11,0,CARTÕES!$K11+2-1))</f>
        <v/>
      </c>
      <c r="E11" s="57">
        <f>IF(OR(CARTÕES!$K11=0,CARTÕES!$F11=""),0,IF(3&gt;CARTÕES!$F11,0,CARTÕES!$K11+3-1))</f>
        <v/>
      </c>
      <c r="F11" s="57">
        <f>IF(OR(CARTÕES!$K11=0,CARTÕES!$F11=""),0,IF(4&gt;CARTÕES!$F11,0,CARTÕES!$K11+4-1))</f>
        <v/>
      </c>
      <c r="G11" s="57">
        <f>IF(OR(CARTÕES!$K11=0,CARTÕES!$F11=""),0,IF(5&gt;CARTÕES!$F11,0,CARTÕES!$K11+5-1))</f>
        <v/>
      </c>
      <c r="H11" s="57">
        <f>IF(OR(CARTÕES!$K11=0,CARTÕES!$F11=""),0,IF(6&gt;CARTÕES!$F11,0,CARTÕES!$K11+6-1))</f>
        <v/>
      </c>
      <c r="I11" s="57">
        <f>IF(OR(CARTÕES!$K11=0,CARTÕES!$F11=""),0,IF(7&gt;CARTÕES!$F11,0,CARTÕES!$K11+7-1))</f>
        <v/>
      </c>
      <c r="J11" s="57">
        <f>IF(OR(CARTÕES!$K11=0,CARTÕES!$F11=""),0,IF(8&gt;CARTÕES!$F11,0,CARTÕES!$K11+8-1))</f>
        <v/>
      </c>
      <c r="K11" s="57">
        <f>IF(OR(CARTÕES!$K11=0,CARTÕES!$F11=""),0,IF(9&gt;CARTÕES!$F11,0,CARTÕES!$K11+9-1))</f>
        <v/>
      </c>
      <c r="L11" s="57">
        <f>IF(OR(CARTÕES!$K11=0,CARTÕES!$F11=""),0,IF(10&gt;CARTÕES!$F11,0,CARTÕES!$K11+10-1))</f>
        <v/>
      </c>
      <c r="M11" s="57">
        <f>IF(OR(CARTÕES!$K11=0,CARTÕES!$F11=""),0,IF(11&gt;CARTÕES!$F11,0,CARTÕES!$K11+11-1))</f>
        <v/>
      </c>
      <c r="N11" s="57">
        <f>IF(OR(CARTÕES!$K11=0,CARTÕES!$F11=""),0,IF(12&gt;CARTÕES!$F11,0,CARTÕES!$K11+12-1))</f>
        <v/>
      </c>
      <c r="O11" s="57">
        <f>IF(OR(CARTÕES!$K11=0,CARTÕES!$F11=""),0,IF(13&gt;CARTÕES!$F11,0,CARTÕES!$K11+13-1))</f>
        <v/>
      </c>
      <c r="P11" s="57">
        <f>IF(OR(CARTÕES!$K11=0,CARTÕES!$F11=""),0,IF(14&gt;CARTÕES!$F11,0,CARTÕES!$K11+14-1))</f>
        <v/>
      </c>
      <c r="Q11" s="57">
        <f>IF(OR(CARTÕES!$K11=0,CARTÕES!$F11=""),0,IF(15&gt;CARTÕES!$F11,0,CARTÕES!$K11+15-1))</f>
        <v/>
      </c>
      <c r="R11" s="57">
        <f>IF(OR(CARTÕES!$K11=0,CARTÕES!$F11=""),0,IF(16&gt;CARTÕES!$F11,0,CARTÕES!$K11+16-1))</f>
        <v/>
      </c>
      <c r="S11" s="57">
        <f>IF(OR(CARTÕES!$K11=0,CARTÕES!$F11=""),0,IF(17&gt;CARTÕES!$F11,0,CARTÕES!$K11+17-1))</f>
        <v/>
      </c>
      <c r="T11" s="57">
        <f>IF(OR(CARTÕES!$K11=0,CARTÕES!$F11=""),0,IF(18&gt;CARTÕES!$F11,0,CARTÕES!$K11+18-1))</f>
        <v/>
      </c>
      <c r="U11" s="57">
        <f>IF(OR(CARTÕES!$K11=0,CARTÕES!$F11=""),0,IF(19&gt;CARTÕES!$F11,0,CARTÕES!$K11+19-1))</f>
        <v/>
      </c>
      <c r="V11" s="57">
        <f>IF(OR(CARTÕES!$K11=0,CARTÕES!$F11=""),0,IF(20&gt;CARTÕES!$F11,0,CARTÕES!$K11+20-1))</f>
        <v/>
      </c>
      <c r="W11" s="57">
        <f>IF(OR(CARTÕES!$K11=0,CARTÕES!$F11=""),0,IF(21&gt;CARTÕES!$F11,0,CARTÕES!$K11+21-1))</f>
        <v/>
      </c>
      <c r="X11" s="57">
        <f>IF(OR(CARTÕES!$K11=0,CARTÕES!$F11=""),0,IF(22&gt;CARTÕES!$F11,0,CARTÕES!$K11+22-1))</f>
        <v/>
      </c>
      <c r="Y11" s="57">
        <f>IF(OR(CARTÕES!$K11=0,CARTÕES!$F11=""),0,IF(23&gt;CARTÕES!$F11,0,CARTÕES!$K11+23-1))</f>
        <v/>
      </c>
      <c r="Z11" s="57">
        <f>IF(OR(CARTÕES!$K11=0,CARTÕES!$F11=""),0,IF(24&gt;CARTÕES!$F11,0,CARTÕES!$K11+24-1))</f>
        <v/>
      </c>
      <c r="AA11" s="57">
        <f>IF(OR(CARTÕES!$K11=0,CARTÕES!$F11=""),0,IF(25&gt;CARTÕES!$F11,0,CARTÕES!$K11+25-1))</f>
        <v/>
      </c>
      <c r="AB11" s="57">
        <f>IF(OR(CARTÕES!$K11=0,CARTÕES!$F11=""),0,IF(26&gt;CARTÕES!$F11,0,CARTÕES!$K11+26-1))</f>
        <v/>
      </c>
      <c r="AC11" s="57">
        <f>IF(OR(CARTÕES!$K11=0,CARTÕES!$F11=""),0,IF(27&gt;CARTÕES!$F11,0,CARTÕES!$K11+27-1))</f>
        <v/>
      </c>
      <c r="AD11" s="57">
        <f>IF(OR(CARTÕES!$K11=0,CARTÕES!$F11=""),0,IF(28&gt;CARTÕES!$F11,0,CARTÕES!$K11+28-1))</f>
        <v/>
      </c>
      <c r="AE11" s="57">
        <f>IF(OR(CARTÕES!$K11=0,CARTÕES!$F11=""),0,IF(29&gt;CARTÕES!$F11,0,CARTÕES!$K11+29-1))</f>
        <v/>
      </c>
      <c r="AF11" s="57">
        <f>IF(OR(CARTÕES!$K11=0,CARTÕES!$F11=""),0,IF(30&gt;CARTÕES!$F11,0,CARTÕES!$K11+30-1))</f>
        <v/>
      </c>
      <c r="AG11" s="57">
        <f>IF(OR(CARTÕES!$K11=0,CARTÕES!$F11=""),0,IF(31&gt;CARTÕES!$F11,0,CARTÕES!$K11+31-1))</f>
        <v/>
      </c>
      <c r="AH11" s="57">
        <f>IF(OR(CARTÕES!$K11=0,CARTÕES!$F11=""),0,IF(32&gt;CARTÕES!$F11,0,CARTÕES!$K11+32-1))</f>
        <v/>
      </c>
      <c r="AI11" s="57">
        <f>IF(OR(CARTÕES!$K11=0,CARTÕES!$F11=""),0,IF(33&gt;CARTÕES!$F11,0,CARTÕES!$K11+33-1))</f>
        <v/>
      </c>
      <c r="AJ11" s="57">
        <f>IF(OR(CARTÕES!$K11=0,CARTÕES!$F11=""),0,IF(34&gt;CARTÕES!$F11,0,CARTÕES!$K11+34-1))</f>
        <v/>
      </c>
      <c r="AK11" s="57">
        <f>IF(OR(CARTÕES!$K11=0,CARTÕES!$F11=""),0,IF(35&gt;CARTÕES!$F11,0,CARTÕES!$K11+35-1))</f>
        <v/>
      </c>
      <c r="AL11" s="57">
        <f>IF(OR(CARTÕES!$K11=0,CARTÕES!$F11=""),0,IF(36&gt;CARTÕES!$F11,0,CARTÕES!$K11+36-1))</f>
        <v/>
      </c>
      <c r="AM11" s="57">
        <f>IF(C11=0,0,IF(1=CARTÕES!$F11,CARTÕES!$E11-(CARTÕES!$F11-1)*ROUND(CARTÕES!$E11/CARTÕES!$F11,0),ROUND(CARTÕES!$E11/CARTÕES!$F11,0)))</f>
        <v/>
      </c>
      <c r="AN11" s="57">
        <f>IF(D11=0,0,IF(2=CARTÕES!$F11,CARTÕES!$E11-(CARTÕES!$F11-1)*ROUND(CARTÕES!$E11/CARTÕES!$F11,0),ROUND(CARTÕES!$E11/CARTÕES!$F11,0)))</f>
        <v/>
      </c>
      <c r="AO11" s="57">
        <f>IF(E11=0,0,IF(3=CARTÕES!$F11,CARTÕES!$E11-(CARTÕES!$F11-1)*ROUND(CARTÕES!$E11/CARTÕES!$F11,0),ROUND(CARTÕES!$E11/CARTÕES!$F11,0)))</f>
        <v/>
      </c>
      <c r="AP11" s="57">
        <f>IF(F11=0,0,IF(4=CARTÕES!$F11,CARTÕES!$E11-(CARTÕES!$F11-1)*ROUND(CARTÕES!$E11/CARTÕES!$F11,0),ROUND(CARTÕES!$E11/CARTÕES!$F11,0)))</f>
        <v/>
      </c>
      <c r="AQ11" s="57">
        <f>IF(G11=0,0,IF(5=CARTÕES!$F11,CARTÕES!$E11-(CARTÕES!$F11-1)*ROUND(CARTÕES!$E11/CARTÕES!$F11,0),ROUND(CARTÕES!$E11/CARTÕES!$F11,0)))</f>
        <v/>
      </c>
      <c r="AR11" s="57">
        <f>IF(H11=0,0,IF(6=CARTÕES!$F11,CARTÕES!$E11-(CARTÕES!$F11-1)*ROUND(CARTÕES!$E11/CARTÕES!$F11,0),ROUND(CARTÕES!$E11/CARTÕES!$F11,0)))</f>
        <v/>
      </c>
      <c r="AS11" s="57">
        <f>IF(I11=0,0,IF(7=CARTÕES!$F11,CARTÕES!$E11-(CARTÕES!$F11-1)*ROUND(CARTÕES!$E11/CARTÕES!$F11,0),ROUND(CARTÕES!$E11/CARTÕES!$F11,0)))</f>
        <v/>
      </c>
      <c r="AT11" s="57">
        <f>IF(J11=0,0,IF(8=CARTÕES!$F11,CARTÕES!$E11-(CARTÕES!$F11-1)*ROUND(CARTÕES!$E11/CARTÕES!$F11,0),ROUND(CARTÕES!$E11/CARTÕES!$F11,0)))</f>
        <v/>
      </c>
      <c r="AU11" s="57">
        <f>IF(K11=0,0,IF(9=CARTÕES!$F11,CARTÕES!$E11-(CARTÕES!$F11-1)*ROUND(CARTÕES!$E11/CARTÕES!$F11,0),ROUND(CARTÕES!$E11/CARTÕES!$F11,0)))</f>
        <v/>
      </c>
      <c r="AV11" s="57">
        <f>IF(L11=0,0,IF(10=CARTÕES!$F11,CARTÕES!$E11-(CARTÕES!$F11-1)*ROUND(CARTÕES!$E11/CARTÕES!$F11,0),ROUND(CARTÕES!$E11/CARTÕES!$F11,0)))</f>
        <v/>
      </c>
      <c r="AW11" s="57">
        <f>IF(M11=0,0,IF(11=CARTÕES!$F11,CARTÕES!$E11-(CARTÕES!$F11-1)*ROUND(CARTÕES!$E11/CARTÕES!$F11,0),ROUND(CARTÕES!$E11/CARTÕES!$F11,0)))</f>
        <v/>
      </c>
      <c r="AX11" s="57">
        <f>IF(N11=0,0,IF(12=CARTÕES!$F11,CARTÕES!$E11-(CARTÕES!$F11-1)*ROUND(CARTÕES!$E11/CARTÕES!$F11,0),ROUND(CARTÕES!$E11/CARTÕES!$F11,0)))</f>
        <v/>
      </c>
      <c r="AY11" s="57">
        <f>IF(O11=0,0,IF(13=CARTÕES!$F11,CARTÕES!$E11-(CARTÕES!$F11-1)*ROUND(CARTÕES!$E11/CARTÕES!$F11,0),ROUND(CARTÕES!$E11/CARTÕES!$F11,0)))</f>
        <v/>
      </c>
      <c r="AZ11" s="57">
        <f>IF(P11=0,0,IF(14=CARTÕES!$F11,CARTÕES!$E11-(CARTÕES!$F11-1)*ROUND(CARTÕES!$E11/CARTÕES!$F11,0),ROUND(CARTÕES!$E11/CARTÕES!$F11,0)))</f>
        <v/>
      </c>
      <c r="BA11" s="57">
        <f>IF(Q11=0,0,IF(15=CARTÕES!$F11,CARTÕES!$E11-(CARTÕES!$F11-1)*ROUND(CARTÕES!$E11/CARTÕES!$F11,0),ROUND(CARTÕES!$E11/CARTÕES!$F11,0)))</f>
        <v/>
      </c>
      <c r="BB11" s="57">
        <f>IF(R11=0,0,IF(16=CARTÕES!$F11,CARTÕES!$E11-(CARTÕES!$F11-1)*ROUND(CARTÕES!$E11/CARTÕES!$F11,0),ROUND(CARTÕES!$E11/CARTÕES!$F11,0)))</f>
        <v/>
      </c>
      <c r="BC11" s="57">
        <f>IF(S11=0,0,IF(17=CARTÕES!$F11,CARTÕES!$E11-(CARTÕES!$F11-1)*ROUND(CARTÕES!$E11/CARTÕES!$F11,0),ROUND(CARTÕES!$E11/CARTÕES!$F11,0)))</f>
        <v/>
      </c>
      <c r="BD11" s="57">
        <f>IF(T11=0,0,IF(18=CARTÕES!$F11,CARTÕES!$E11-(CARTÕES!$F11-1)*ROUND(CARTÕES!$E11/CARTÕES!$F11,0),ROUND(CARTÕES!$E11/CARTÕES!$F11,0)))</f>
        <v/>
      </c>
      <c r="BE11" s="57">
        <f>IF(U11=0,0,IF(19=CARTÕES!$F11,CARTÕES!$E11-(CARTÕES!$F11-1)*ROUND(CARTÕES!$E11/CARTÕES!$F11,0),ROUND(CARTÕES!$E11/CARTÕES!$F11,0)))</f>
        <v/>
      </c>
      <c r="BF11" s="57">
        <f>IF(V11=0,0,IF(20=CARTÕES!$F11,CARTÕES!$E11-(CARTÕES!$F11-1)*ROUND(CARTÕES!$E11/CARTÕES!$F11,0),ROUND(CARTÕES!$E11/CARTÕES!$F11,0)))</f>
        <v/>
      </c>
      <c r="BG11" s="57">
        <f>IF(W11=0,0,IF(21=CARTÕES!$F11,CARTÕES!$E11-(CARTÕES!$F11-1)*ROUND(CARTÕES!$E11/CARTÕES!$F11,0),ROUND(CARTÕES!$E11/CARTÕES!$F11,0)))</f>
        <v/>
      </c>
      <c r="BH11" s="57">
        <f>IF(X11=0,0,IF(22=CARTÕES!$F11,CARTÕES!$E11-(CARTÕES!$F11-1)*ROUND(CARTÕES!$E11/CARTÕES!$F11,0),ROUND(CARTÕES!$E11/CARTÕES!$F11,0)))</f>
        <v/>
      </c>
      <c r="BI11" s="57">
        <f>IF(Y11=0,0,IF(23=CARTÕES!$F11,CARTÕES!$E11-(CARTÕES!$F11-1)*ROUND(CARTÕES!$E11/CARTÕES!$F11,0),ROUND(CARTÕES!$E11/CARTÕES!$F11,0)))</f>
        <v/>
      </c>
      <c r="BJ11" s="57">
        <f>IF(Z11=0,0,IF(24=CARTÕES!$F11,CARTÕES!$E11-(CARTÕES!$F11-1)*ROUND(CARTÕES!$E11/CARTÕES!$F11,0),ROUND(CARTÕES!$E11/CARTÕES!$F11,0)))</f>
        <v/>
      </c>
      <c r="BK11" s="57">
        <f>IF(AA11=0,0,IF(25=CARTÕES!$F11,CARTÕES!$E11-(CARTÕES!$F11-1)*ROUND(CARTÕES!$E11/CARTÕES!$F11,0),ROUND(CARTÕES!$E11/CARTÕES!$F11,0)))</f>
        <v/>
      </c>
      <c r="BL11" s="57">
        <f>IF(AB11=0,0,IF(26=CARTÕES!$F11,CARTÕES!$E11-(CARTÕES!$F11-1)*ROUND(CARTÕES!$E11/CARTÕES!$F11,0),ROUND(CARTÕES!$E11/CARTÕES!$F11,0)))</f>
        <v/>
      </c>
      <c r="BM11" s="57">
        <f>IF(AC11=0,0,IF(27=CARTÕES!$F11,CARTÕES!$E11-(CARTÕES!$F11-1)*ROUND(CARTÕES!$E11/CARTÕES!$F11,0),ROUND(CARTÕES!$E11/CARTÕES!$F11,0)))</f>
        <v/>
      </c>
      <c r="BN11" s="57">
        <f>IF(AD11=0,0,IF(28=CARTÕES!$F11,CARTÕES!$E11-(CARTÕES!$F11-1)*ROUND(CARTÕES!$E11/CARTÕES!$F11,0),ROUND(CARTÕES!$E11/CARTÕES!$F11,0)))</f>
        <v/>
      </c>
      <c r="BO11" s="57">
        <f>IF(AE11=0,0,IF(29=CARTÕES!$F11,CARTÕES!$E11-(CARTÕES!$F11-1)*ROUND(CARTÕES!$E11/CARTÕES!$F11,0),ROUND(CARTÕES!$E11/CARTÕES!$F11,0)))</f>
        <v/>
      </c>
      <c r="BP11" s="57">
        <f>IF(AF11=0,0,IF(30=CARTÕES!$F11,CARTÕES!$E11-(CARTÕES!$F11-1)*ROUND(CARTÕES!$E11/CARTÕES!$F11,0),ROUND(CARTÕES!$E11/CARTÕES!$F11,0)))</f>
        <v/>
      </c>
      <c r="BQ11" s="57">
        <f>IF(AG11=0,0,IF(31=CARTÕES!$F11,CARTÕES!$E11-(CARTÕES!$F11-1)*ROUND(CARTÕES!$E11/CARTÕES!$F11,0),ROUND(CARTÕES!$E11/CARTÕES!$F11,0)))</f>
        <v/>
      </c>
      <c r="BR11" s="57">
        <f>IF(AH11=0,0,IF(32=CARTÕES!$F11,CARTÕES!$E11-(CARTÕES!$F11-1)*ROUND(CARTÕES!$E11/CARTÕES!$F11,0),ROUND(CARTÕES!$E11/CARTÕES!$F11,0)))</f>
        <v/>
      </c>
      <c r="BS11" s="57">
        <f>IF(AI11=0,0,IF(33=CARTÕES!$F11,CARTÕES!$E11-(CARTÕES!$F11-1)*ROUND(CARTÕES!$E11/CARTÕES!$F11,0),ROUND(CARTÕES!$E11/CARTÕES!$F11,0)))</f>
        <v/>
      </c>
      <c r="BT11" s="57">
        <f>IF(AJ11=0,0,IF(34=CARTÕES!$F11,CARTÕES!$E11-(CARTÕES!$F11-1)*ROUND(CARTÕES!$E11/CARTÕES!$F11,0),ROUND(CARTÕES!$E11/CARTÕES!$F11,0)))</f>
        <v/>
      </c>
      <c r="BU11" s="57">
        <f>IF(AK11=0,0,IF(35=CARTÕES!$F11,CARTÕES!$E11-(CARTÕES!$F11-1)*ROUND(CARTÕES!$E11/CARTÕES!$F11,0),ROUND(CARTÕES!$E11/CARTÕES!$F11,0)))</f>
        <v/>
      </c>
      <c r="BV11" s="57">
        <f>IF(AL11=0,0,IF(36=CARTÕES!$F11,CARTÕES!$E11-(CARTÕES!$F11-1)*ROUND(CARTÕES!$E11/CARTÕES!$F11,0),ROUND(CARTÕES!$E11/CARTÕES!$F11,0)))</f>
        <v/>
      </c>
    </row>
    <row r="12">
      <c r="A12" s="55">
        <f>IF(CARTÕES!$C12="","",CARTÕES!$C12)</f>
        <v/>
      </c>
      <c r="B12" s="56">
        <f>SUMPRODUCT((C12:AL12='RESUMO MENSAL'!$C$4)*AM12:BV12)</f>
        <v/>
      </c>
      <c r="C12" s="57">
        <f>IF(OR(CARTÕES!$K12=0,CARTÕES!$F12=""),0,IF(1&gt;CARTÕES!$F12,0,CARTÕES!$K12+1-1))</f>
        <v/>
      </c>
      <c r="D12" s="57">
        <f>IF(OR(CARTÕES!$K12=0,CARTÕES!$F12=""),0,IF(2&gt;CARTÕES!$F12,0,CARTÕES!$K12+2-1))</f>
        <v/>
      </c>
      <c r="E12" s="57">
        <f>IF(OR(CARTÕES!$K12=0,CARTÕES!$F12=""),0,IF(3&gt;CARTÕES!$F12,0,CARTÕES!$K12+3-1))</f>
        <v/>
      </c>
      <c r="F12" s="57">
        <f>IF(OR(CARTÕES!$K12=0,CARTÕES!$F12=""),0,IF(4&gt;CARTÕES!$F12,0,CARTÕES!$K12+4-1))</f>
        <v/>
      </c>
      <c r="G12" s="57">
        <f>IF(OR(CARTÕES!$K12=0,CARTÕES!$F12=""),0,IF(5&gt;CARTÕES!$F12,0,CARTÕES!$K12+5-1))</f>
        <v/>
      </c>
      <c r="H12" s="57">
        <f>IF(OR(CARTÕES!$K12=0,CARTÕES!$F12=""),0,IF(6&gt;CARTÕES!$F12,0,CARTÕES!$K12+6-1))</f>
        <v/>
      </c>
      <c r="I12" s="57">
        <f>IF(OR(CARTÕES!$K12=0,CARTÕES!$F12=""),0,IF(7&gt;CARTÕES!$F12,0,CARTÕES!$K12+7-1))</f>
        <v/>
      </c>
      <c r="J12" s="57">
        <f>IF(OR(CARTÕES!$K12=0,CARTÕES!$F12=""),0,IF(8&gt;CARTÕES!$F12,0,CARTÕES!$K12+8-1))</f>
        <v/>
      </c>
      <c r="K12" s="57">
        <f>IF(OR(CARTÕES!$K12=0,CARTÕES!$F12=""),0,IF(9&gt;CARTÕES!$F12,0,CARTÕES!$K12+9-1))</f>
        <v/>
      </c>
      <c r="L12" s="57">
        <f>IF(OR(CARTÕES!$K12=0,CARTÕES!$F12=""),0,IF(10&gt;CARTÕES!$F12,0,CARTÕES!$K12+10-1))</f>
        <v/>
      </c>
      <c r="M12" s="57">
        <f>IF(OR(CARTÕES!$K12=0,CARTÕES!$F12=""),0,IF(11&gt;CARTÕES!$F12,0,CARTÕES!$K12+11-1))</f>
        <v/>
      </c>
      <c r="N12" s="57">
        <f>IF(OR(CARTÕES!$K12=0,CARTÕES!$F12=""),0,IF(12&gt;CARTÕES!$F12,0,CARTÕES!$K12+12-1))</f>
        <v/>
      </c>
      <c r="O12" s="57">
        <f>IF(OR(CARTÕES!$K12=0,CARTÕES!$F12=""),0,IF(13&gt;CARTÕES!$F12,0,CARTÕES!$K12+13-1))</f>
        <v/>
      </c>
      <c r="P12" s="57">
        <f>IF(OR(CARTÕES!$K12=0,CARTÕES!$F12=""),0,IF(14&gt;CARTÕES!$F12,0,CARTÕES!$K12+14-1))</f>
        <v/>
      </c>
      <c r="Q12" s="57">
        <f>IF(OR(CARTÕES!$K12=0,CARTÕES!$F12=""),0,IF(15&gt;CARTÕES!$F12,0,CARTÕES!$K12+15-1))</f>
        <v/>
      </c>
      <c r="R12" s="57">
        <f>IF(OR(CARTÕES!$K12=0,CARTÕES!$F12=""),0,IF(16&gt;CARTÕES!$F12,0,CARTÕES!$K12+16-1))</f>
        <v/>
      </c>
      <c r="S12" s="57">
        <f>IF(OR(CARTÕES!$K12=0,CARTÕES!$F12=""),0,IF(17&gt;CARTÕES!$F12,0,CARTÕES!$K12+17-1))</f>
        <v/>
      </c>
      <c r="T12" s="57">
        <f>IF(OR(CARTÕES!$K12=0,CARTÕES!$F12=""),0,IF(18&gt;CARTÕES!$F12,0,CARTÕES!$K12+18-1))</f>
        <v/>
      </c>
      <c r="U12" s="57">
        <f>IF(OR(CARTÕES!$K12=0,CARTÕES!$F12=""),0,IF(19&gt;CARTÕES!$F12,0,CARTÕES!$K12+19-1))</f>
        <v/>
      </c>
      <c r="V12" s="57">
        <f>IF(OR(CARTÕES!$K12=0,CARTÕES!$F12=""),0,IF(20&gt;CARTÕES!$F12,0,CARTÕES!$K12+20-1))</f>
        <v/>
      </c>
      <c r="W12" s="57">
        <f>IF(OR(CARTÕES!$K12=0,CARTÕES!$F12=""),0,IF(21&gt;CARTÕES!$F12,0,CARTÕES!$K12+21-1))</f>
        <v/>
      </c>
      <c r="X12" s="57">
        <f>IF(OR(CARTÕES!$K12=0,CARTÕES!$F12=""),0,IF(22&gt;CARTÕES!$F12,0,CARTÕES!$K12+22-1))</f>
        <v/>
      </c>
      <c r="Y12" s="57">
        <f>IF(OR(CARTÕES!$K12=0,CARTÕES!$F12=""),0,IF(23&gt;CARTÕES!$F12,0,CARTÕES!$K12+23-1))</f>
        <v/>
      </c>
      <c r="Z12" s="57">
        <f>IF(OR(CARTÕES!$K12=0,CARTÕES!$F12=""),0,IF(24&gt;CARTÕES!$F12,0,CARTÕES!$K12+24-1))</f>
        <v/>
      </c>
      <c r="AA12" s="57">
        <f>IF(OR(CARTÕES!$K12=0,CARTÕES!$F12=""),0,IF(25&gt;CARTÕES!$F12,0,CARTÕES!$K12+25-1))</f>
        <v/>
      </c>
      <c r="AB12" s="57">
        <f>IF(OR(CARTÕES!$K12=0,CARTÕES!$F12=""),0,IF(26&gt;CARTÕES!$F12,0,CARTÕES!$K12+26-1))</f>
        <v/>
      </c>
      <c r="AC12" s="57">
        <f>IF(OR(CARTÕES!$K12=0,CARTÕES!$F12=""),0,IF(27&gt;CARTÕES!$F12,0,CARTÕES!$K12+27-1))</f>
        <v/>
      </c>
      <c r="AD12" s="57">
        <f>IF(OR(CARTÕES!$K12=0,CARTÕES!$F12=""),0,IF(28&gt;CARTÕES!$F12,0,CARTÕES!$K12+28-1))</f>
        <v/>
      </c>
      <c r="AE12" s="57">
        <f>IF(OR(CARTÕES!$K12=0,CARTÕES!$F12=""),0,IF(29&gt;CARTÕES!$F12,0,CARTÕES!$K12+29-1))</f>
        <v/>
      </c>
      <c r="AF12" s="57">
        <f>IF(OR(CARTÕES!$K12=0,CARTÕES!$F12=""),0,IF(30&gt;CARTÕES!$F12,0,CARTÕES!$K12+30-1))</f>
        <v/>
      </c>
      <c r="AG12" s="57">
        <f>IF(OR(CARTÕES!$K12=0,CARTÕES!$F12=""),0,IF(31&gt;CARTÕES!$F12,0,CARTÕES!$K12+31-1))</f>
        <v/>
      </c>
      <c r="AH12" s="57">
        <f>IF(OR(CARTÕES!$K12=0,CARTÕES!$F12=""),0,IF(32&gt;CARTÕES!$F12,0,CARTÕES!$K12+32-1))</f>
        <v/>
      </c>
      <c r="AI12" s="57">
        <f>IF(OR(CARTÕES!$K12=0,CARTÕES!$F12=""),0,IF(33&gt;CARTÕES!$F12,0,CARTÕES!$K12+33-1))</f>
        <v/>
      </c>
      <c r="AJ12" s="57">
        <f>IF(OR(CARTÕES!$K12=0,CARTÕES!$F12=""),0,IF(34&gt;CARTÕES!$F12,0,CARTÕES!$K12+34-1))</f>
        <v/>
      </c>
      <c r="AK12" s="57">
        <f>IF(OR(CARTÕES!$K12=0,CARTÕES!$F12=""),0,IF(35&gt;CARTÕES!$F12,0,CARTÕES!$K12+35-1))</f>
        <v/>
      </c>
      <c r="AL12" s="57">
        <f>IF(OR(CARTÕES!$K12=0,CARTÕES!$F12=""),0,IF(36&gt;CARTÕES!$F12,0,CARTÕES!$K12+36-1))</f>
        <v/>
      </c>
      <c r="AM12" s="57">
        <f>IF(C12=0,0,IF(1=CARTÕES!$F12,CARTÕES!$E12-(CARTÕES!$F12-1)*ROUND(CARTÕES!$E12/CARTÕES!$F12,0),ROUND(CARTÕES!$E12/CARTÕES!$F12,0)))</f>
        <v/>
      </c>
      <c r="AN12" s="57">
        <f>IF(D12=0,0,IF(2=CARTÕES!$F12,CARTÕES!$E12-(CARTÕES!$F12-1)*ROUND(CARTÕES!$E12/CARTÕES!$F12,0),ROUND(CARTÕES!$E12/CARTÕES!$F12,0)))</f>
        <v/>
      </c>
      <c r="AO12" s="57">
        <f>IF(E12=0,0,IF(3=CARTÕES!$F12,CARTÕES!$E12-(CARTÕES!$F12-1)*ROUND(CARTÕES!$E12/CARTÕES!$F12,0),ROUND(CARTÕES!$E12/CARTÕES!$F12,0)))</f>
        <v/>
      </c>
      <c r="AP12" s="57">
        <f>IF(F12=0,0,IF(4=CARTÕES!$F12,CARTÕES!$E12-(CARTÕES!$F12-1)*ROUND(CARTÕES!$E12/CARTÕES!$F12,0),ROUND(CARTÕES!$E12/CARTÕES!$F12,0)))</f>
        <v/>
      </c>
      <c r="AQ12" s="57">
        <f>IF(G12=0,0,IF(5=CARTÕES!$F12,CARTÕES!$E12-(CARTÕES!$F12-1)*ROUND(CARTÕES!$E12/CARTÕES!$F12,0),ROUND(CARTÕES!$E12/CARTÕES!$F12,0)))</f>
        <v/>
      </c>
      <c r="AR12" s="57">
        <f>IF(H12=0,0,IF(6=CARTÕES!$F12,CARTÕES!$E12-(CARTÕES!$F12-1)*ROUND(CARTÕES!$E12/CARTÕES!$F12,0),ROUND(CARTÕES!$E12/CARTÕES!$F12,0)))</f>
        <v/>
      </c>
      <c r="AS12" s="57">
        <f>IF(I12=0,0,IF(7=CARTÕES!$F12,CARTÕES!$E12-(CARTÕES!$F12-1)*ROUND(CARTÕES!$E12/CARTÕES!$F12,0),ROUND(CARTÕES!$E12/CARTÕES!$F12,0)))</f>
        <v/>
      </c>
      <c r="AT12" s="57">
        <f>IF(J12=0,0,IF(8=CARTÕES!$F12,CARTÕES!$E12-(CARTÕES!$F12-1)*ROUND(CARTÕES!$E12/CARTÕES!$F12,0),ROUND(CARTÕES!$E12/CARTÕES!$F12,0)))</f>
        <v/>
      </c>
      <c r="AU12" s="57">
        <f>IF(K12=0,0,IF(9=CARTÕES!$F12,CARTÕES!$E12-(CARTÕES!$F12-1)*ROUND(CARTÕES!$E12/CARTÕES!$F12,0),ROUND(CARTÕES!$E12/CARTÕES!$F12,0)))</f>
        <v/>
      </c>
      <c r="AV12" s="57">
        <f>IF(L12=0,0,IF(10=CARTÕES!$F12,CARTÕES!$E12-(CARTÕES!$F12-1)*ROUND(CARTÕES!$E12/CARTÕES!$F12,0),ROUND(CARTÕES!$E12/CARTÕES!$F12,0)))</f>
        <v/>
      </c>
      <c r="AW12" s="57">
        <f>IF(M12=0,0,IF(11=CARTÕES!$F12,CARTÕES!$E12-(CARTÕES!$F12-1)*ROUND(CARTÕES!$E12/CARTÕES!$F12,0),ROUND(CARTÕES!$E12/CARTÕES!$F12,0)))</f>
        <v/>
      </c>
      <c r="AX12" s="57">
        <f>IF(N12=0,0,IF(12=CARTÕES!$F12,CARTÕES!$E12-(CARTÕES!$F12-1)*ROUND(CARTÕES!$E12/CARTÕES!$F12,0),ROUND(CARTÕES!$E12/CARTÕES!$F12,0)))</f>
        <v/>
      </c>
      <c r="AY12" s="57">
        <f>IF(O12=0,0,IF(13=CARTÕES!$F12,CARTÕES!$E12-(CARTÕES!$F12-1)*ROUND(CARTÕES!$E12/CARTÕES!$F12,0),ROUND(CARTÕES!$E12/CARTÕES!$F12,0)))</f>
        <v/>
      </c>
      <c r="AZ12" s="57">
        <f>IF(P12=0,0,IF(14=CARTÕES!$F12,CARTÕES!$E12-(CARTÕES!$F12-1)*ROUND(CARTÕES!$E12/CARTÕES!$F12,0),ROUND(CARTÕES!$E12/CARTÕES!$F12,0)))</f>
        <v/>
      </c>
      <c r="BA12" s="57">
        <f>IF(Q12=0,0,IF(15=CARTÕES!$F12,CARTÕES!$E12-(CARTÕES!$F12-1)*ROUND(CARTÕES!$E12/CARTÕES!$F12,0),ROUND(CARTÕES!$E12/CARTÕES!$F12,0)))</f>
        <v/>
      </c>
      <c r="BB12" s="57">
        <f>IF(R12=0,0,IF(16=CARTÕES!$F12,CARTÕES!$E12-(CARTÕES!$F12-1)*ROUND(CARTÕES!$E12/CARTÕES!$F12,0),ROUND(CARTÕES!$E12/CARTÕES!$F12,0)))</f>
        <v/>
      </c>
      <c r="BC12" s="57">
        <f>IF(S12=0,0,IF(17=CARTÕES!$F12,CARTÕES!$E12-(CARTÕES!$F12-1)*ROUND(CARTÕES!$E12/CARTÕES!$F12,0),ROUND(CARTÕES!$E12/CARTÕES!$F12,0)))</f>
        <v/>
      </c>
      <c r="BD12" s="57">
        <f>IF(T12=0,0,IF(18=CARTÕES!$F12,CARTÕES!$E12-(CARTÕES!$F12-1)*ROUND(CARTÕES!$E12/CARTÕES!$F12,0),ROUND(CARTÕES!$E12/CARTÕES!$F12,0)))</f>
        <v/>
      </c>
      <c r="BE12" s="57">
        <f>IF(U12=0,0,IF(19=CARTÕES!$F12,CARTÕES!$E12-(CARTÕES!$F12-1)*ROUND(CARTÕES!$E12/CARTÕES!$F12,0),ROUND(CARTÕES!$E12/CARTÕES!$F12,0)))</f>
        <v/>
      </c>
      <c r="BF12" s="57">
        <f>IF(V12=0,0,IF(20=CARTÕES!$F12,CARTÕES!$E12-(CARTÕES!$F12-1)*ROUND(CARTÕES!$E12/CARTÕES!$F12,0),ROUND(CARTÕES!$E12/CARTÕES!$F12,0)))</f>
        <v/>
      </c>
      <c r="BG12" s="57">
        <f>IF(W12=0,0,IF(21=CARTÕES!$F12,CARTÕES!$E12-(CARTÕES!$F12-1)*ROUND(CARTÕES!$E12/CARTÕES!$F12,0),ROUND(CARTÕES!$E12/CARTÕES!$F12,0)))</f>
        <v/>
      </c>
      <c r="BH12" s="57">
        <f>IF(X12=0,0,IF(22=CARTÕES!$F12,CARTÕES!$E12-(CARTÕES!$F12-1)*ROUND(CARTÕES!$E12/CARTÕES!$F12,0),ROUND(CARTÕES!$E12/CARTÕES!$F12,0)))</f>
        <v/>
      </c>
      <c r="BI12" s="57">
        <f>IF(Y12=0,0,IF(23=CARTÕES!$F12,CARTÕES!$E12-(CARTÕES!$F12-1)*ROUND(CARTÕES!$E12/CARTÕES!$F12,0),ROUND(CARTÕES!$E12/CARTÕES!$F12,0)))</f>
        <v/>
      </c>
      <c r="BJ12" s="57">
        <f>IF(Z12=0,0,IF(24=CARTÕES!$F12,CARTÕES!$E12-(CARTÕES!$F12-1)*ROUND(CARTÕES!$E12/CARTÕES!$F12,0),ROUND(CARTÕES!$E12/CARTÕES!$F12,0)))</f>
        <v/>
      </c>
      <c r="BK12" s="57">
        <f>IF(AA12=0,0,IF(25=CARTÕES!$F12,CARTÕES!$E12-(CARTÕES!$F12-1)*ROUND(CARTÕES!$E12/CARTÕES!$F12,0),ROUND(CARTÕES!$E12/CARTÕES!$F12,0)))</f>
        <v/>
      </c>
      <c r="BL12" s="57">
        <f>IF(AB12=0,0,IF(26=CARTÕES!$F12,CARTÕES!$E12-(CARTÕES!$F12-1)*ROUND(CARTÕES!$E12/CARTÕES!$F12,0),ROUND(CARTÕES!$E12/CARTÕES!$F12,0)))</f>
        <v/>
      </c>
      <c r="BM12" s="57">
        <f>IF(AC12=0,0,IF(27=CARTÕES!$F12,CARTÕES!$E12-(CARTÕES!$F12-1)*ROUND(CARTÕES!$E12/CARTÕES!$F12,0),ROUND(CARTÕES!$E12/CARTÕES!$F12,0)))</f>
        <v/>
      </c>
      <c r="BN12" s="57">
        <f>IF(AD12=0,0,IF(28=CARTÕES!$F12,CARTÕES!$E12-(CARTÕES!$F12-1)*ROUND(CARTÕES!$E12/CARTÕES!$F12,0),ROUND(CARTÕES!$E12/CARTÕES!$F12,0)))</f>
        <v/>
      </c>
      <c r="BO12" s="57">
        <f>IF(AE12=0,0,IF(29=CARTÕES!$F12,CARTÕES!$E12-(CARTÕES!$F12-1)*ROUND(CARTÕES!$E12/CARTÕES!$F12,0),ROUND(CARTÕES!$E12/CARTÕES!$F12,0)))</f>
        <v/>
      </c>
      <c r="BP12" s="57">
        <f>IF(AF12=0,0,IF(30=CARTÕES!$F12,CARTÕES!$E12-(CARTÕES!$F12-1)*ROUND(CARTÕES!$E12/CARTÕES!$F12,0),ROUND(CARTÕES!$E12/CARTÕES!$F12,0)))</f>
        <v/>
      </c>
      <c r="BQ12" s="57">
        <f>IF(AG12=0,0,IF(31=CARTÕES!$F12,CARTÕES!$E12-(CARTÕES!$F12-1)*ROUND(CARTÕES!$E12/CARTÕES!$F12,0),ROUND(CARTÕES!$E12/CARTÕES!$F12,0)))</f>
        <v/>
      </c>
      <c r="BR12" s="57">
        <f>IF(AH12=0,0,IF(32=CARTÕES!$F12,CARTÕES!$E12-(CARTÕES!$F12-1)*ROUND(CARTÕES!$E12/CARTÕES!$F12,0),ROUND(CARTÕES!$E12/CARTÕES!$F12,0)))</f>
        <v/>
      </c>
      <c r="BS12" s="57">
        <f>IF(AI12=0,0,IF(33=CARTÕES!$F12,CARTÕES!$E12-(CARTÕES!$F12-1)*ROUND(CARTÕES!$E12/CARTÕES!$F12,0),ROUND(CARTÕES!$E12/CARTÕES!$F12,0)))</f>
        <v/>
      </c>
      <c r="BT12" s="57">
        <f>IF(AJ12=0,0,IF(34=CARTÕES!$F12,CARTÕES!$E12-(CARTÕES!$F12-1)*ROUND(CARTÕES!$E12/CARTÕES!$F12,0),ROUND(CARTÕES!$E12/CARTÕES!$F12,0)))</f>
        <v/>
      </c>
      <c r="BU12" s="57">
        <f>IF(AK12=0,0,IF(35=CARTÕES!$F12,CARTÕES!$E12-(CARTÕES!$F12-1)*ROUND(CARTÕES!$E12/CARTÕES!$F12,0),ROUND(CARTÕES!$E12/CARTÕES!$F12,0)))</f>
        <v/>
      </c>
      <c r="BV12" s="57">
        <f>IF(AL12=0,0,IF(36=CARTÕES!$F12,CARTÕES!$E12-(CARTÕES!$F12-1)*ROUND(CARTÕES!$E12/CARTÕES!$F12,0),ROUND(CARTÕES!$E12/CARTÕES!$F12,0)))</f>
        <v/>
      </c>
    </row>
    <row r="13">
      <c r="A13" s="55">
        <f>IF(CARTÕES!$C13="","",CARTÕES!$C13)</f>
        <v/>
      </c>
      <c r="B13" s="56">
        <f>SUMPRODUCT((C13:AL13='RESUMO MENSAL'!$C$4)*AM13:BV13)</f>
        <v/>
      </c>
      <c r="C13" s="57">
        <f>IF(OR(CARTÕES!$K13=0,CARTÕES!$F13=""),0,IF(1&gt;CARTÕES!$F13,0,CARTÕES!$K13+1-1))</f>
        <v/>
      </c>
      <c r="D13" s="57">
        <f>IF(OR(CARTÕES!$K13=0,CARTÕES!$F13=""),0,IF(2&gt;CARTÕES!$F13,0,CARTÕES!$K13+2-1))</f>
        <v/>
      </c>
      <c r="E13" s="57">
        <f>IF(OR(CARTÕES!$K13=0,CARTÕES!$F13=""),0,IF(3&gt;CARTÕES!$F13,0,CARTÕES!$K13+3-1))</f>
        <v/>
      </c>
      <c r="F13" s="57">
        <f>IF(OR(CARTÕES!$K13=0,CARTÕES!$F13=""),0,IF(4&gt;CARTÕES!$F13,0,CARTÕES!$K13+4-1))</f>
        <v/>
      </c>
      <c r="G13" s="57">
        <f>IF(OR(CARTÕES!$K13=0,CARTÕES!$F13=""),0,IF(5&gt;CARTÕES!$F13,0,CARTÕES!$K13+5-1))</f>
        <v/>
      </c>
      <c r="H13" s="57">
        <f>IF(OR(CARTÕES!$K13=0,CARTÕES!$F13=""),0,IF(6&gt;CARTÕES!$F13,0,CARTÕES!$K13+6-1))</f>
        <v/>
      </c>
      <c r="I13" s="57">
        <f>IF(OR(CARTÕES!$K13=0,CARTÕES!$F13=""),0,IF(7&gt;CARTÕES!$F13,0,CARTÕES!$K13+7-1))</f>
        <v/>
      </c>
      <c r="J13" s="57">
        <f>IF(OR(CARTÕES!$K13=0,CARTÕES!$F13=""),0,IF(8&gt;CARTÕES!$F13,0,CARTÕES!$K13+8-1))</f>
        <v/>
      </c>
      <c r="K13" s="57">
        <f>IF(OR(CARTÕES!$K13=0,CARTÕES!$F13=""),0,IF(9&gt;CARTÕES!$F13,0,CARTÕES!$K13+9-1))</f>
        <v/>
      </c>
      <c r="L13" s="57">
        <f>IF(OR(CARTÕES!$K13=0,CARTÕES!$F13=""),0,IF(10&gt;CARTÕES!$F13,0,CARTÕES!$K13+10-1))</f>
        <v/>
      </c>
      <c r="M13" s="57">
        <f>IF(OR(CARTÕES!$K13=0,CARTÕES!$F13=""),0,IF(11&gt;CARTÕES!$F13,0,CARTÕES!$K13+11-1))</f>
        <v/>
      </c>
      <c r="N13" s="57">
        <f>IF(OR(CARTÕES!$K13=0,CARTÕES!$F13=""),0,IF(12&gt;CARTÕES!$F13,0,CARTÕES!$K13+12-1))</f>
        <v/>
      </c>
      <c r="O13" s="57">
        <f>IF(OR(CARTÕES!$K13=0,CARTÕES!$F13=""),0,IF(13&gt;CARTÕES!$F13,0,CARTÕES!$K13+13-1))</f>
        <v/>
      </c>
      <c r="P13" s="57">
        <f>IF(OR(CARTÕES!$K13=0,CARTÕES!$F13=""),0,IF(14&gt;CARTÕES!$F13,0,CARTÕES!$K13+14-1))</f>
        <v/>
      </c>
      <c r="Q13" s="57">
        <f>IF(OR(CARTÕES!$K13=0,CARTÕES!$F13=""),0,IF(15&gt;CARTÕES!$F13,0,CARTÕES!$K13+15-1))</f>
        <v/>
      </c>
      <c r="R13" s="57">
        <f>IF(OR(CARTÕES!$K13=0,CARTÕES!$F13=""),0,IF(16&gt;CARTÕES!$F13,0,CARTÕES!$K13+16-1))</f>
        <v/>
      </c>
      <c r="S13" s="57">
        <f>IF(OR(CARTÕES!$K13=0,CARTÕES!$F13=""),0,IF(17&gt;CARTÕES!$F13,0,CARTÕES!$K13+17-1))</f>
        <v/>
      </c>
      <c r="T13" s="57">
        <f>IF(OR(CARTÕES!$K13=0,CARTÕES!$F13=""),0,IF(18&gt;CARTÕES!$F13,0,CARTÕES!$K13+18-1))</f>
        <v/>
      </c>
      <c r="U13" s="57">
        <f>IF(OR(CARTÕES!$K13=0,CARTÕES!$F13=""),0,IF(19&gt;CARTÕES!$F13,0,CARTÕES!$K13+19-1))</f>
        <v/>
      </c>
      <c r="V13" s="57">
        <f>IF(OR(CARTÕES!$K13=0,CARTÕES!$F13=""),0,IF(20&gt;CARTÕES!$F13,0,CARTÕES!$K13+20-1))</f>
        <v/>
      </c>
      <c r="W13" s="57">
        <f>IF(OR(CARTÕES!$K13=0,CARTÕES!$F13=""),0,IF(21&gt;CARTÕES!$F13,0,CARTÕES!$K13+21-1))</f>
        <v/>
      </c>
      <c r="X13" s="57">
        <f>IF(OR(CARTÕES!$K13=0,CARTÕES!$F13=""),0,IF(22&gt;CARTÕES!$F13,0,CARTÕES!$K13+22-1))</f>
        <v/>
      </c>
      <c r="Y13" s="57">
        <f>IF(OR(CARTÕES!$K13=0,CARTÕES!$F13=""),0,IF(23&gt;CARTÕES!$F13,0,CARTÕES!$K13+23-1))</f>
        <v/>
      </c>
      <c r="Z13" s="57">
        <f>IF(OR(CARTÕES!$K13=0,CARTÕES!$F13=""),0,IF(24&gt;CARTÕES!$F13,0,CARTÕES!$K13+24-1))</f>
        <v/>
      </c>
      <c r="AA13" s="57">
        <f>IF(OR(CARTÕES!$K13=0,CARTÕES!$F13=""),0,IF(25&gt;CARTÕES!$F13,0,CARTÕES!$K13+25-1))</f>
        <v/>
      </c>
      <c r="AB13" s="57">
        <f>IF(OR(CARTÕES!$K13=0,CARTÕES!$F13=""),0,IF(26&gt;CARTÕES!$F13,0,CARTÕES!$K13+26-1))</f>
        <v/>
      </c>
      <c r="AC13" s="57">
        <f>IF(OR(CARTÕES!$K13=0,CARTÕES!$F13=""),0,IF(27&gt;CARTÕES!$F13,0,CARTÕES!$K13+27-1))</f>
        <v/>
      </c>
      <c r="AD13" s="57">
        <f>IF(OR(CARTÕES!$K13=0,CARTÕES!$F13=""),0,IF(28&gt;CARTÕES!$F13,0,CARTÕES!$K13+28-1))</f>
        <v/>
      </c>
      <c r="AE13" s="57">
        <f>IF(OR(CARTÕES!$K13=0,CARTÕES!$F13=""),0,IF(29&gt;CARTÕES!$F13,0,CARTÕES!$K13+29-1))</f>
        <v/>
      </c>
      <c r="AF13" s="57">
        <f>IF(OR(CARTÕES!$K13=0,CARTÕES!$F13=""),0,IF(30&gt;CARTÕES!$F13,0,CARTÕES!$K13+30-1))</f>
        <v/>
      </c>
      <c r="AG13" s="57">
        <f>IF(OR(CARTÕES!$K13=0,CARTÕES!$F13=""),0,IF(31&gt;CARTÕES!$F13,0,CARTÕES!$K13+31-1))</f>
        <v/>
      </c>
      <c r="AH13" s="57">
        <f>IF(OR(CARTÕES!$K13=0,CARTÕES!$F13=""),0,IF(32&gt;CARTÕES!$F13,0,CARTÕES!$K13+32-1))</f>
        <v/>
      </c>
      <c r="AI13" s="57">
        <f>IF(OR(CARTÕES!$K13=0,CARTÕES!$F13=""),0,IF(33&gt;CARTÕES!$F13,0,CARTÕES!$K13+33-1))</f>
        <v/>
      </c>
      <c r="AJ13" s="57">
        <f>IF(OR(CARTÕES!$K13=0,CARTÕES!$F13=""),0,IF(34&gt;CARTÕES!$F13,0,CARTÕES!$K13+34-1))</f>
        <v/>
      </c>
      <c r="AK13" s="57">
        <f>IF(OR(CARTÕES!$K13=0,CARTÕES!$F13=""),0,IF(35&gt;CARTÕES!$F13,0,CARTÕES!$K13+35-1))</f>
        <v/>
      </c>
      <c r="AL13" s="57">
        <f>IF(OR(CARTÕES!$K13=0,CARTÕES!$F13=""),0,IF(36&gt;CARTÕES!$F13,0,CARTÕES!$K13+36-1))</f>
        <v/>
      </c>
      <c r="AM13" s="57">
        <f>IF(C13=0,0,IF(1=CARTÕES!$F13,CARTÕES!$E13-(CARTÕES!$F13-1)*ROUND(CARTÕES!$E13/CARTÕES!$F13,0),ROUND(CARTÕES!$E13/CARTÕES!$F13,0)))</f>
        <v/>
      </c>
      <c r="AN13" s="57">
        <f>IF(D13=0,0,IF(2=CARTÕES!$F13,CARTÕES!$E13-(CARTÕES!$F13-1)*ROUND(CARTÕES!$E13/CARTÕES!$F13,0),ROUND(CARTÕES!$E13/CARTÕES!$F13,0)))</f>
        <v/>
      </c>
      <c r="AO13" s="57">
        <f>IF(E13=0,0,IF(3=CARTÕES!$F13,CARTÕES!$E13-(CARTÕES!$F13-1)*ROUND(CARTÕES!$E13/CARTÕES!$F13,0),ROUND(CARTÕES!$E13/CARTÕES!$F13,0)))</f>
        <v/>
      </c>
      <c r="AP13" s="57">
        <f>IF(F13=0,0,IF(4=CARTÕES!$F13,CARTÕES!$E13-(CARTÕES!$F13-1)*ROUND(CARTÕES!$E13/CARTÕES!$F13,0),ROUND(CARTÕES!$E13/CARTÕES!$F13,0)))</f>
        <v/>
      </c>
      <c r="AQ13" s="57">
        <f>IF(G13=0,0,IF(5=CARTÕES!$F13,CARTÕES!$E13-(CARTÕES!$F13-1)*ROUND(CARTÕES!$E13/CARTÕES!$F13,0),ROUND(CARTÕES!$E13/CARTÕES!$F13,0)))</f>
        <v/>
      </c>
      <c r="AR13" s="57">
        <f>IF(H13=0,0,IF(6=CARTÕES!$F13,CARTÕES!$E13-(CARTÕES!$F13-1)*ROUND(CARTÕES!$E13/CARTÕES!$F13,0),ROUND(CARTÕES!$E13/CARTÕES!$F13,0)))</f>
        <v/>
      </c>
      <c r="AS13" s="57">
        <f>IF(I13=0,0,IF(7=CARTÕES!$F13,CARTÕES!$E13-(CARTÕES!$F13-1)*ROUND(CARTÕES!$E13/CARTÕES!$F13,0),ROUND(CARTÕES!$E13/CARTÕES!$F13,0)))</f>
        <v/>
      </c>
      <c r="AT13" s="57">
        <f>IF(J13=0,0,IF(8=CARTÕES!$F13,CARTÕES!$E13-(CARTÕES!$F13-1)*ROUND(CARTÕES!$E13/CARTÕES!$F13,0),ROUND(CARTÕES!$E13/CARTÕES!$F13,0)))</f>
        <v/>
      </c>
      <c r="AU13" s="57">
        <f>IF(K13=0,0,IF(9=CARTÕES!$F13,CARTÕES!$E13-(CARTÕES!$F13-1)*ROUND(CARTÕES!$E13/CARTÕES!$F13,0),ROUND(CARTÕES!$E13/CARTÕES!$F13,0)))</f>
        <v/>
      </c>
      <c r="AV13" s="57">
        <f>IF(L13=0,0,IF(10=CARTÕES!$F13,CARTÕES!$E13-(CARTÕES!$F13-1)*ROUND(CARTÕES!$E13/CARTÕES!$F13,0),ROUND(CARTÕES!$E13/CARTÕES!$F13,0)))</f>
        <v/>
      </c>
      <c r="AW13" s="57">
        <f>IF(M13=0,0,IF(11=CARTÕES!$F13,CARTÕES!$E13-(CARTÕES!$F13-1)*ROUND(CARTÕES!$E13/CARTÕES!$F13,0),ROUND(CARTÕES!$E13/CARTÕES!$F13,0)))</f>
        <v/>
      </c>
      <c r="AX13" s="57">
        <f>IF(N13=0,0,IF(12=CARTÕES!$F13,CARTÕES!$E13-(CARTÕES!$F13-1)*ROUND(CARTÕES!$E13/CARTÕES!$F13,0),ROUND(CARTÕES!$E13/CARTÕES!$F13,0)))</f>
        <v/>
      </c>
      <c r="AY13" s="57">
        <f>IF(O13=0,0,IF(13=CARTÕES!$F13,CARTÕES!$E13-(CARTÕES!$F13-1)*ROUND(CARTÕES!$E13/CARTÕES!$F13,0),ROUND(CARTÕES!$E13/CARTÕES!$F13,0)))</f>
        <v/>
      </c>
      <c r="AZ13" s="57">
        <f>IF(P13=0,0,IF(14=CARTÕES!$F13,CARTÕES!$E13-(CARTÕES!$F13-1)*ROUND(CARTÕES!$E13/CARTÕES!$F13,0),ROUND(CARTÕES!$E13/CARTÕES!$F13,0)))</f>
        <v/>
      </c>
      <c r="BA13" s="57">
        <f>IF(Q13=0,0,IF(15=CARTÕES!$F13,CARTÕES!$E13-(CARTÕES!$F13-1)*ROUND(CARTÕES!$E13/CARTÕES!$F13,0),ROUND(CARTÕES!$E13/CARTÕES!$F13,0)))</f>
        <v/>
      </c>
      <c r="BB13" s="57">
        <f>IF(R13=0,0,IF(16=CARTÕES!$F13,CARTÕES!$E13-(CARTÕES!$F13-1)*ROUND(CARTÕES!$E13/CARTÕES!$F13,0),ROUND(CARTÕES!$E13/CARTÕES!$F13,0)))</f>
        <v/>
      </c>
      <c r="BC13" s="57">
        <f>IF(S13=0,0,IF(17=CARTÕES!$F13,CARTÕES!$E13-(CARTÕES!$F13-1)*ROUND(CARTÕES!$E13/CARTÕES!$F13,0),ROUND(CARTÕES!$E13/CARTÕES!$F13,0)))</f>
        <v/>
      </c>
      <c r="BD13" s="57">
        <f>IF(T13=0,0,IF(18=CARTÕES!$F13,CARTÕES!$E13-(CARTÕES!$F13-1)*ROUND(CARTÕES!$E13/CARTÕES!$F13,0),ROUND(CARTÕES!$E13/CARTÕES!$F13,0)))</f>
        <v/>
      </c>
      <c r="BE13" s="57">
        <f>IF(U13=0,0,IF(19=CARTÕES!$F13,CARTÕES!$E13-(CARTÕES!$F13-1)*ROUND(CARTÕES!$E13/CARTÕES!$F13,0),ROUND(CARTÕES!$E13/CARTÕES!$F13,0)))</f>
        <v/>
      </c>
      <c r="BF13" s="57">
        <f>IF(V13=0,0,IF(20=CARTÕES!$F13,CARTÕES!$E13-(CARTÕES!$F13-1)*ROUND(CARTÕES!$E13/CARTÕES!$F13,0),ROUND(CARTÕES!$E13/CARTÕES!$F13,0)))</f>
        <v/>
      </c>
      <c r="BG13" s="57">
        <f>IF(W13=0,0,IF(21=CARTÕES!$F13,CARTÕES!$E13-(CARTÕES!$F13-1)*ROUND(CARTÕES!$E13/CARTÕES!$F13,0),ROUND(CARTÕES!$E13/CARTÕES!$F13,0)))</f>
        <v/>
      </c>
      <c r="BH13" s="57">
        <f>IF(X13=0,0,IF(22=CARTÕES!$F13,CARTÕES!$E13-(CARTÕES!$F13-1)*ROUND(CARTÕES!$E13/CARTÕES!$F13,0),ROUND(CARTÕES!$E13/CARTÕES!$F13,0)))</f>
        <v/>
      </c>
      <c r="BI13" s="57">
        <f>IF(Y13=0,0,IF(23=CARTÕES!$F13,CARTÕES!$E13-(CARTÕES!$F13-1)*ROUND(CARTÕES!$E13/CARTÕES!$F13,0),ROUND(CARTÕES!$E13/CARTÕES!$F13,0)))</f>
        <v/>
      </c>
      <c r="BJ13" s="57">
        <f>IF(Z13=0,0,IF(24=CARTÕES!$F13,CARTÕES!$E13-(CARTÕES!$F13-1)*ROUND(CARTÕES!$E13/CARTÕES!$F13,0),ROUND(CARTÕES!$E13/CARTÕES!$F13,0)))</f>
        <v/>
      </c>
      <c r="BK13" s="57">
        <f>IF(AA13=0,0,IF(25=CARTÕES!$F13,CARTÕES!$E13-(CARTÕES!$F13-1)*ROUND(CARTÕES!$E13/CARTÕES!$F13,0),ROUND(CARTÕES!$E13/CARTÕES!$F13,0)))</f>
        <v/>
      </c>
      <c r="BL13" s="57">
        <f>IF(AB13=0,0,IF(26=CARTÕES!$F13,CARTÕES!$E13-(CARTÕES!$F13-1)*ROUND(CARTÕES!$E13/CARTÕES!$F13,0),ROUND(CARTÕES!$E13/CARTÕES!$F13,0)))</f>
        <v/>
      </c>
      <c r="BM13" s="57">
        <f>IF(AC13=0,0,IF(27=CARTÕES!$F13,CARTÕES!$E13-(CARTÕES!$F13-1)*ROUND(CARTÕES!$E13/CARTÕES!$F13,0),ROUND(CARTÕES!$E13/CARTÕES!$F13,0)))</f>
        <v/>
      </c>
      <c r="BN13" s="57">
        <f>IF(AD13=0,0,IF(28=CARTÕES!$F13,CARTÕES!$E13-(CARTÕES!$F13-1)*ROUND(CARTÕES!$E13/CARTÕES!$F13,0),ROUND(CARTÕES!$E13/CARTÕES!$F13,0)))</f>
        <v/>
      </c>
      <c r="BO13" s="57">
        <f>IF(AE13=0,0,IF(29=CARTÕES!$F13,CARTÕES!$E13-(CARTÕES!$F13-1)*ROUND(CARTÕES!$E13/CARTÕES!$F13,0),ROUND(CARTÕES!$E13/CARTÕES!$F13,0)))</f>
        <v/>
      </c>
      <c r="BP13" s="57">
        <f>IF(AF13=0,0,IF(30=CARTÕES!$F13,CARTÕES!$E13-(CARTÕES!$F13-1)*ROUND(CARTÕES!$E13/CARTÕES!$F13,0),ROUND(CARTÕES!$E13/CARTÕES!$F13,0)))</f>
        <v/>
      </c>
      <c r="BQ13" s="57">
        <f>IF(AG13=0,0,IF(31=CARTÕES!$F13,CARTÕES!$E13-(CARTÕES!$F13-1)*ROUND(CARTÕES!$E13/CARTÕES!$F13,0),ROUND(CARTÕES!$E13/CARTÕES!$F13,0)))</f>
        <v/>
      </c>
      <c r="BR13" s="57">
        <f>IF(AH13=0,0,IF(32=CARTÕES!$F13,CARTÕES!$E13-(CARTÕES!$F13-1)*ROUND(CARTÕES!$E13/CARTÕES!$F13,0),ROUND(CARTÕES!$E13/CARTÕES!$F13,0)))</f>
        <v/>
      </c>
      <c r="BS13" s="57">
        <f>IF(AI13=0,0,IF(33=CARTÕES!$F13,CARTÕES!$E13-(CARTÕES!$F13-1)*ROUND(CARTÕES!$E13/CARTÕES!$F13,0),ROUND(CARTÕES!$E13/CARTÕES!$F13,0)))</f>
        <v/>
      </c>
      <c r="BT13" s="57">
        <f>IF(AJ13=0,0,IF(34=CARTÕES!$F13,CARTÕES!$E13-(CARTÕES!$F13-1)*ROUND(CARTÕES!$E13/CARTÕES!$F13,0),ROUND(CARTÕES!$E13/CARTÕES!$F13,0)))</f>
        <v/>
      </c>
      <c r="BU13" s="57">
        <f>IF(AK13=0,0,IF(35=CARTÕES!$F13,CARTÕES!$E13-(CARTÕES!$F13-1)*ROUND(CARTÕES!$E13/CARTÕES!$F13,0),ROUND(CARTÕES!$E13/CARTÕES!$F13,0)))</f>
        <v/>
      </c>
      <c r="BV13" s="57">
        <f>IF(AL13=0,0,IF(36=CARTÕES!$F13,CARTÕES!$E13-(CARTÕES!$F13-1)*ROUND(CARTÕES!$E13/CARTÕES!$F13,0),ROUND(CARTÕES!$E13/CARTÕES!$F13,0)))</f>
        <v/>
      </c>
    </row>
    <row r="14">
      <c r="A14" s="55">
        <f>IF(CARTÕES!$C14="","",CARTÕES!$C14)</f>
        <v/>
      </c>
      <c r="B14" s="56">
        <f>SUMPRODUCT((C14:AL14='RESUMO MENSAL'!$C$4)*AM14:BV14)</f>
        <v/>
      </c>
      <c r="C14" s="57">
        <f>IF(OR(CARTÕES!$K14=0,CARTÕES!$F14=""),0,IF(1&gt;CARTÕES!$F14,0,CARTÕES!$K14+1-1))</f>
        <v/>
      </c>
      <c r="D14" s="57">
        <f>IF(OR(CARTÕES!$K14=0,CARTÕES!$F14=""),0,IF(2&gt;CARTÕES!$F14,0,CARTÕES!$K14+2-1))</f>
        <v/>
      </c>
      <c r="E14" s="57">
        <f>IF(OR(CARTÕES!$K14=0,CARTÕES!$F14=""),0,IF(3&gt;CARTÕES!$F14,0,CARTÕES!$K14+3-1))</f>
        <v/>
      </c>
      <c r="F14" s="57">
        <f>IF(OR(CARTÕES!$K14=0,CARTÕES!$F14=""),0,IF(4&gt;CARTÕES!$F14,0,CARTÕES!$K14+4-1))</f>
        <v/>
      </c>
      <c r="G14" s="57">
        <f>IF(OR(CARTÕES!$K14=0,CARTÕES!$F14=""),0,IF(5&gt;CARTÕES!$F14,0,CARTÕES!$K14+5-1))</f>
        <v/>
      </c>
      <c r="H14" s="57">
        <f>IF(OR(CARTÕES!$K14=0,CARTÕES!$F14=""),0,IF(6&gt;CARTÕES!$F14,0,CARTÕES!$K14+6-1))</f>
        <v/>
      </c>
      <c r="I14" s="57">
        <f>IF(OR(CARTÕES!$K14=0,CARTÕES!$F14=""),0,IF(7&gt;CARTÕES!$F14,0,CARTÕES!$K14+7-1))</f>
        <v/>
      </c>
      <c r="J14" s="57">
        <f>IF(OR(CARTÕES!$K14=0,CARTÕES!$F14=""),0,IF(8&gt;CARTÕES!$F14,0,CARTÕES!$K14+8-1))</f>
        <v/>
      </c>
      <c r="K14" s="57">
        <f>IF(OR(CARTÕES!$K14=0,CARTÕES!$F14=""),0,IF(9&gt;CARTÕES!$F14,0,CARTÕES!$K14+9-1))</f>
        <v/>
      </c>
      <c r="L14" s="57">
        <f>IF(OR(CARTÕES!$K14=0,CARTÕES!$F14=""),0,IF(10&gt;CARTÕES!$F14,0,CARTÕES!$K14+10-1))</f>
        <v/>
      </c>
      <c r="M14" s="57">
        <f>IF(OR(CARTÕES!$K14=0,CARTÕES!$F14=""),0,IF(11&gt;CARTÕES!$F14,0,CARTÕES!$K14+11-1))</f>
        <v/>
      </c>
      <c r="N14" s="57">
        <f>IF(OR(CARTÕES!$K14=0,CARTÕES!$F14=""),0,IF(12&gt;CARTÕES!$F14,0,CARTÕES!$K14+12-1))</f>
        <v/>
      </c>
      <c r="O14" s="57">
        <f>IF(OR(CARTÕES!$K14=0,CARTÕES!$F14=""),0,IF(13&gt;CARTÕES!$F14,0,CARTÕES!$K14+13-1))</f>
        <v/>
      </c>
      <c r="P14" s="57">
        <f>IF(OR(CARTÕES!$K14=0,CARTÕES!$F14=""),0,IF(14&gt;CARTÕES!$F14,0,CARTÕES!$K14+14-1))</f>
        <v/>
      </c>
      <c r="Q14" s="57">
        <f>IF(OR(CARTÕES!$K14=0,CARTÕES!$F14=""),0,IF(15&gt;CARTÕES!$F14,0,CARTÕES!$K14+15-1))</f>
        <v/>
      </c>
      <c r="R14" s="57">
        <f>IF(OR(CARTÕES!$K14=0,CARTÕES!$F14=""),0,IF(16&gt;CARTÕES!$F14,0,CARTÕES!$K14+16-1))</f>
        <v/>
      </c>
      <c r="S14" s="57">
        <f>IF(OR(CARTÕES!$K14=0,CARTÕES!$F14=""),0,IF(17&gt;CARTÕES!$F14,0,CARTÕES!$K14+17-1))</f>
        <v/>
      </c>
      <c r="T14" s="57">
        <f>IF(OR(CARTÕES!$K14=0,CARTÕES!$F14=""),0,IF(18&gt;CARTÕES!$F14,0,CARTÕES!$K14+18-1))</f>
        <v/>
      </c>
      <c r="U14" s="57">
        <f>IF(OR(CARTÕES!$K14=0,CARTÕES!$F14=""),0,IF(19&gt;CARTÕES!$F14,0,CARTÕES!$K14+19-1))</f>
        <v/>
      </c>
      <c r="V14" s="57">
        <f>IF(OR(CARTÕES!$K14=0,CARTÕES!$F14=""),0,IF(20&gt;CARTÕES!$F14,0,CARTÕES!$K14+20-1))</f>
        <v/>
      </c>
      <c r="W14" s="57">
        <f>IF(OR(CARTÕES!$K14=0,CARTÕES!$F14=""),0,IF(21&gt;CARTÕES!$F14,0,CARTÕES!$K14+21-1))</f>
        <v/>
      </c>
      <c r="X14" s="57">
        <f>IF(OR(CARTÕES!$K14=0,CARTÕES!$F14=""),0,IF(22&gt;CARTÕES!$F14,0,CARTÕES!$K14+22-1))</f>
        <v/>
      </c>
      <c r="Y14" s="57">
        <f>IF(OR(CARTÕES!$K14=0,CARTÕES!$F14=""),0,IF(23&gt;CARTÕES!$F14,0,CARTÕES!$K14+23-1))</f>
        <v/>
      </c>
      <c r="Z14" s="57">
        <f>IF(OR(CARTÕES!$K14=0,CARTÕES!$F14=""),0,IF(24&gt;CARTÕES!$F14,0,CARTÕES!$K14+24-1))</f>
        <v/>
      </c>
      <c r="AA14" s="57">
        <f>IF(OR(CARTÕES!$K14=0,CARTÕES!$F14=""),0,IF(25&gt;CARTÕES!$F14,0,CARTÕES!$K14+25-1))</f>
        <v/>
      </c>
      <c r="AB14" s="57">
        <f>IF(OR(CARTÕES!$K14=0,CARTÕES!$F14=""),0,IF(26&gt;CARTÕES!$F14,0,CARTÕES!$K14+26-1))</f>
        <v/>
      </c>
      <c r="AC14" s="57">
        <f>IF(OR(CARTÕES!$K14=0,CARTÕES!$F14=""),0,IF(27&gt;CARTÕES!$F14,0,CARTÕES!$K14+27-1))</f>
        <v/>
      </c>
      <c r="AD14" s="57">
        <f>IF(OR(CARTÕES!$K14=0,CARTÕES!$F14=""),0,IF(28&gt;CARTÕES!$F14,0,CARTÕES!$K14+28-1))</f>
        <v/>
      </c>
      <c r="AE14" s="57">
        <f>IF(OR(CARTÕES!$K14=0,CARTÕES!$F14=""),0,IF(29&gt;CARTÕES!$F14,0,CARTÕES!$K14+29-1))</f>
        <v/>
      </c>
      <c r="AF14" s="57">
        <f>IF(OR(CARTÕES!$K14=0,CARTÕES!$F14=""),0,IF(30&gt;CARTÕES!$F14,0,CARTÕES!$K14+30-1))</f>
        <v/>
      </c>
      <c r="AG14" s="57">
        <f>IF(OR(CARTÕES!$K14=0,CARTÕES!$F14=""),0,IF(31&gt;CARTÕES!$F14,0,CARTÕES!$K14+31-1))</f>
        <v/>
      </c>
      <c r="AH14" s="57">
        <f>IF(OR(CARTÕES!$K14=0,CARTÕES!$F14=""),0,IF(32&gt;CARTÕES!$F14,0,CARTÕES!$K14+32-1))</f>
        <v/>
      </c>
      <c r="AI14" s="57">
        <f>IF(OR(CARTÕES!$K14=0,CARTÕES!$F14=""),0,IF(33&gt;CARTÕES!$F14,0,CARTÕES!$K14+33-1))</f>
        <v/>
      </c>
      <c r="AJ14" s="57">
        <f>IF(OR(CARTÕES!$K14=0,CARTÕES!$F14=""),0,IF(34&gt;CARTÕES!$F14,0,CARTÕES!$K14+34-1))</f>
        <v/>
      </c>
      <c r="AK14" s="57">
        <f>IF(OR(CARTÕES!$K14=0,CARTÕES!$F14=""),0,IF(35&gt;CARTÕES!$F14,0,CARTÕES!$K14+35-1))</f>
        <v/>
      </c>
      <c r="AL14" s="57">
        <f>IF(OR(CARTÕES!$K14=0,CARTÕES!$F14=""),0,IF(36&gt;CARTÕES!$F14,0,CARTÕES!$K14+36-1))</f>
        <v/>
      </c>
      <c r="AM14" s="57">
        <f>IF(C14=0,0,IF(1=CARTÕES!$F14,CARTÕES!$E14-(CARTÕES!$F14-1)*ROUND(CARTÕES!$E14/CARTÕES!$F14,0),ROUND(CARTÕES!$E14/CARTÕES!$F14,0)))</f>
        <v/>
      </c>
      <c r="AN14" s="57">
        <f>IF(D14=0,0,IF(2=CARTÕES!$F14,CARTÕES!$E14-(CARTÕES!$F14-1)*ROUND(CARTÕES!$E14/CARTÕES!$F14,0),ROUND(CARTÕES!$E14/CARTÕES!$F14,0)))</f>
        <v/>
      </c>
      <c r="AO14" s="57">
        <f>IF(E14=0,0,IF(3=CARTÕES!$F14,CARTÕES!$E14-(CARTÕES!$F14-1)*ROUND(CARTÕES!$E14/CARTÕES!$F14,0),ROUND(CARTÕES!$E14/CARTÕES!$F14,0)))</f>
        <v/>
      </c>
      <c r="AP14" s="57">
        <f>IF(F14=0,0,IF(4=CARTÕES!$F14,CARTÕES!$E14-(CARTÕES!$F14-1)*ROUND(CARTÕES!$E14/CARTÕES!$F14,0),ROUND(CARTÕES!$E14/CARTÕES!$F14,0)))</f>
        <v/>
      </c>
      <c r="AQ14" s="57">
        <f>IF(G14=0,0,IF(5=CARTÕES!$F14,CARTÕES!$E14-(CARTÕES!$F14-1)*ROUND(CARTÕES!$E14/CARTÕES!$F14,0),ROUND(CARTÕES!$E14/CARTÕES!$F14,0)))</f>
        <v/>
      </c>
      <c r="AR14" s="57">
        <f>IF(H14=0,0,IF(6=CARTÕES!$F14,CARTÕES!$E14-(CARTÕES!$F14-1)*ROUND(CARTÕES!$E14/CARTÕES!$F14,0),ROUND(CARTÕES!$E14/CARTÕES!$F14,0)))</f>
        <v/>
      </c>
      <c r="AS14" s="57">
        <f>IF(I14=0,0,IF(7=CARTÕES!$F14,CARTÕES!$E14-(CARTÕES!$F14-1)*ROUND(CARTÕES!$E14/CARTÕES!$F14,0),ROUND(CARTÕES!$E14/CARTÕES!$F14,0)))</f>
        <v/>
      </c>
      <c r="AT14" s="57">
        <f>IF(J14=0,0,IF(8=CARTÕES!$F14,CARTÕES!$E14-(CARTÕES!$F14-1)*ROUND(CARTÕES!$E14/CARTÕES!$F14,0),ROUND(CARTÕES!$E14/CARTÕES!$F14,0)))</f>
        <v/>
      </c>
      <c r="AU14" s="57">
        <f>IF(K14=0,0,IF(9=CARTÕES!$F14,CARTÕES!$E14-(CARTÕES!$F14-1)*ROUND(CARTÕES!$E14/CARTÕES!$F14,0),ROUND(CARTÕES!$E14/CARTÕES!$F14,0)))</f>
        <v/>
      </c>
      <c r="AV14" s="57">
        <f>IF(L14=0,0,IF(10=CARTÕES!$F14,CARTÕES!$E14-(CARTÕES!$F14-1)*ROUND(CARTÕES!$E14/CARTÕES!$F14,0),ROUND(CARTÕES!$E14/CARTÕES!$F14,0)))</f>
        <v/>
      </c>
      <c r="AW14" s="57">
        <f>IF(M14=0,0,IF(11=CARTÕES!$F14,CARTÕES!$E14-(CARTÕES!$F14-1)*ROUND(CARTÕES!$E14/CARTÕES!$F14,0),ROUND(CARTÕES!$E14/CARTÕES!$F14,0)))</f>
        <v/>
      </c>
      <c r="AX14" s="57">
        <f>IF(N14=0,0,IF(12=CARTÕES!$F14,CARTÕES!$E14-(CARTÕES!$F14-1)*ROUND(CARTÕES!$E14/CARTÕES!$F14,0),ROUND(CARTÕES!$E14/CARTÕES!$F14,0)))</f>
        <v/>
      </c>
      <c r="AY14" s="57">
        <f>IF(O14=0,0,IF(13=CARTÕES!$F14,CARTÕES!$E14-(CARTÕES!$F14-1)*ROUND(CARTÕES!$E14/CARTÕES!$F14,0),ROUND(CARTÕES!$E14/CARTÕES!$F14,0)))</f>
        <v/>
      </c>
      <c r="AZ14" s="57">
        <f>IF(P14=0,0,IF(14=CARTÕES!$F14,CARTÕES!$E14-(CARTÕES!$F14-1)*ROUND(CARTÕES!$E14/CARTÕES!$F14,0),ROUND(CARTÕES!$E14/CARTÕES!$F14,0)))</f>
        <v/>
      </c>
      <c r="BA14" s="57">
        <f>IF(Q14=0,0,IF(15=CARTÕES!$F14,CARTÕES!$E14-(CARTÕES!$F14-1)*ROUND(CARTÕES!$E14/CARTÕES!$F14,0),ROUND(CARTÕES!$E14/CARTÕES!$F14,0)))</f>
        <v/>
      </c>
      <c r="BB14" s="57">
        <f>IF(R14=0,0,IF(16=CARTÕES!$F14,CARTÕES!$E14-(CARTÕES!$F14-1)*ROUND(CARTÕES!$E14/CARTÕES!$F14,0),ROUND(CARTÕES!$E14/CARTÕES!$F14,0)))</f>
        <v/>
      </c>
      <c r="BC14" s="57">
        <f>IF(S14=0,0,IF(17=CARTÕES!$F14,CARTÕES!$E14-(CARTÕES!$F14-1)*ROUND(CARTÕES!$E14/CARTÕES!$F14,0),ROUND(CARTÕES!$E14/CARTÕES!$F14,0)))</f>
        <v/>
      </c>
      <c r="BD14" s="57">
        <f>IF(T14=0,0,IF(18=CARTÕES!$F14,CARTÕES!$E14-(CARTÕES!$F14-1)*ROUND(CARTÕES!$E14/CARTÕES!$F14,0),ROUND(CARTÕES!$E14/CARTÕES!$F14,0)))</f>
        <v/>
      </c>
      <c r="BE14" s="57">
        <f>IF(U14=0,0,IF(19=CARTÕES!$F14,CARTÕES!$E14-(CARTÕES!$F14-1)*ROUND(CARTÕES!$E14/CARTÕES!$F14,0),ROUND(CARTÕES!$E14/CARTÕES!$F14,0)))</f>
        <v/>
      </c>
      <c r="BF14" s="57">
        <f>IF(V14=0,0,IF(20=CARTÕES!$F14,CARTÕES!$E14-(CARTÕES!$F14-1)*ROUND(CARTÕES!$E14/CARTÕES!$F14,0),ROUND(CARTÕES!$E14/CARTÕES!$F14,0)))</f>
        <v/>
      </c>
      <c r="BG14" s="57">
        <f>IF(W14=0,0,IF(21=CARTÕES!$F14,CARTÕES!$E14-(CARTÕES!$F14-1)*ROUND(CARTÕES!$E14/CARTÕES!$F14,0),ROUND(CARTÕES!$E14/CARTÕES!$F14,0)))</f>
        <v/>
      </c>
      <c r="BH14" s="57">
        <f>IF(X14=0,0,IF(22=CARTÕES!$F14,CARTÕES!$E14-(CARTÕES!$F14-1)*ROUND(CARTÕES!$E14/CARTÕES!$F14,0),ROUND(CARTÕES!$E14/CARTÕES!$F14,0)))</f>
        <v/>
      </c>
      <c r="BI14" s="57">
        <f>IF(Y14=0,0,IF(23=CARTÕES!$F14,CARTÕES!$E14-(CARTÕES!$F14-1)*ROUND(CARTÕES!$E14/CARTÕES!$F14,0),ROUND(CARTÕES!$E14/CARTÕES!$F14,0)))</f>
        <v/>
      </c>
      <c r="BJ14" s="57">
        <f>IF(Z14=0,0,IF(24=CARTÕES!$F14,CARTÕES!$E14-(CARTÕES!$F14-1)*ROUND(CARTÕES!$E14/CARTÕES!$F14,0),ROUND(CARTÕES!$E14/CARTÕES!$F14,0)))</f>
        <v/>
      </c>
      <c r="BK14" s="57">
        <f>IF(AA14=0,0,IF(25=CARTÕES!$F14,CARTÕES!$E14-(CARTÕES!$F14-1)*ROUND(CARTÕES!$E14/CARTÕES!$F14,0),ROUND(CARTÕES!$E14/CARTÕES!$F14,0)))</f>
        <v/>
      </c>
      <c r="BL14" s="57">
        <f>IF(AB14=0,0,IF(26=CARTÕES!$F14,CARTÕES!$E14-(CARTÕES!$F14-1)*ROUND(CARTÕES!$E14/CARTÕES!$F14,0),ROUND(CARTÕES!$E14/CARTÕES!$F14,0)))</f>
        <v/>
      </c>
      <c r="BM14" s="57">
        <f>IF(AC14=0,0,IF(27=CARTÕES!$F14,CARTÕES!$E14-(CARTÕES!$F14-1)*ROUND(CARTÕES!$E14/CARTÕES!$F14,0),ROUND(CARTÕES!$E14/CARTÕES!$F14,0)))</f>
        <v/>
      </c>
      <c r="BN14" s="57">
        <f>IF(AD14=0,0,IF(28=CARTÕES!$F14,CARTÕES!$E14-(CARTÕES!$F14-1)*ROUND(CARTÕES!$E14/CARTÕES!$F14,0),ROUND(CARTÕES!$E14/CARTÕES!$F14,0)))</f>
        <v/>
      </c>
      <c r="BO14" s="57">
        <f>IF(AE14=0,0,IF(29=CARTÕES!$F14,CARTÕES!$E14-(CARTÕES!$F14-1)*ROUND(CARTÕES!$E14/CARTÕES!$F14,0),ROUND(CARTÕES!$E14/CARTÕES!$F14,0)))</f>
        <v/>
      </c>
      <c r="BP14" s="57">
        <f>IF(AF14=0,0,IF(30=CARTÕES!$F14,CARTÕES!$E14-(CARTÕES!$F14-1)*ROUND(CARTÕES!$E14/CARTÕES!$F14,0),ROUND(CARTÕES!$E14/CARTÕES!$F14,0)))</f>
        <v/>
      </c>
      <c r="BQ14" s="57">
        <f>IF(AG14=0,0,IF(31=CARTÕES!$F14,CARTÕES!$E14-(CARTÕES!$F14-1)*ROUND(CARTÕES!$E14/CARTÕES!$F14,0),ROUND(CARTÕES!$E14/CARTÕES!$F14,0)))</f>
        <v/>
      </c>
      <c r="BR14" s="57">
        <f>IF(AH14=0,0,IF(32=CARTÕES!$F14,CARTÕES!$E14-(CARTÕES!$F14-1)*ROUND(CARTÕES!$E14/CARTÕES!$F14,0),ROUND(CARTÕES!$E14/CARTÕES!$F14,0)))</f>
        <v/>
      </c>
      <c r="BS14" s="57">
        <f>IF(AI14=0,0,IF(33=CARTÕES!$F14,CARTÕES!$E14-(CARTÕES!$F14-1)*ROUND(CARTÕES!$E14/CARTÕES!$F14,0),ROUND(CARTÕES!$E14/CARTÕES!$F14,0)))</f>
        <v/>
      </c>
      <c r="BT14" s="57">
        <f>IF(AJ14=0,0,IF(34=CARTÕES!$F14,CARTÕES!$E14-(CARTÕES!$F14-1)*ROUND(CARTÕES!$E14/CARTÕES!$F14,0),ROUND(CARTÕES!$E14/CARTÕES!$F14,0)))</f>
        <v/>
      </c>
      <c r="BU14" s="57">
        <f>IF(AK14=0,0,IF(35=CARTÕES!$F14,CARTÕES!$E14-(CARTÕES!$F14-1)*ROUND(CARTÕES!$E14/CARTÕES!$F14,0),ROUND(CARTÕES!$E14/CARTÕES!$F14,0)))</f>
        <v/>
      </c>
      <c r="BV14" s="57">
        <f>IF(AL14=0,0,IF(36=CARTÕES!$F14,CARTÕES!$E14-(CARTÕES!$F14-1)*ROUND(CARTÕES!$E14/CARTÕES!$F14,0),ROUND(CARTÕES!$E14/CARTÕES!$F14,0)))</f>
        <v/>
      </c>
    </row>
    <row r="15">
      <c r="A15" s="55">
        <f>IF(CARTÕES!$C15="","",CARTÕES!$C15)</f>
        <v/>
      </c>
      <c r="B15" s="56">
        <f>SUMPRODUCT((C15:AL15='RESUMO MENSAL'!$C$4)*AM15:BV15)</f>
        <v/>
      </c>
      <c r="C15" s="57">
        <f>IF(OR(CARTÕES!$K15=0,CARTÕES!$F15=""),0,IF(1&gt;CARTÕES!$F15,0,CARTÕES!$K15+1-1))</f>
        <v/>
      </c>
      <c r="D15" s="57">
        <f>IF(OR(CARTÕES!$K15=0,CARTÕES!$F15=""),0,IF(2&gt;CARTÕES!$F15,0,CARTÕES!$K15+2-1))</f>
        <v/>
      </c>
      <c r="E15" s="57">
        <f>IF(OR(CARTÕES!$K15=0,CARTÕES!$F15=""),0,IF(3&gt;CARTÕES!$F15,0,CARTÕES!$K15+3-1))</f>
        <v/>
      </c>
      <c r="F15" s="57">
        <f>IF(OR(CARTÕES!$K15=0,CARTÕES!$F15=""),0,IF(4&gt;CARTÕES!$F15,0,CARTÕES!$K15+4-1))</f>
        <v/>
      </c>
      <c r="G15" s="57">
        <f>IF(OR(CARTÕES!$K15=0,CARTÕES!$F15=""),0,IF(5&gt;CARTÕES!$F15,0,CARTÕES!$K15+5-1))</f>
        <v/>
      </c>
      <c r="H15" s="57">
        <f>IF(OR(CARTÕES!$K15=0,CARTÕES!$F15=""),0,IF(6&gt;CARTÕES!$F15,0,CARTÕES!$K15+6-1))</f>
        <v/>
      </c>
      <c r="I15" s="57">
        <f>IF(OR(CARTÕES!$K15=0,CARTÕES!$F15=""),0,IF(7&gt;CARTÕES!$F15,0,CARTÕES!$K15+7-1))</f>
        <v/>
      </c>
      <c r="J15" s="57">
        <f>IF(OR(CARTÕES!$K15=0,CARTÕES!$F15=""),0,IF(8&gt;CARTÕES!$F15,0,CARTÕES!$K15+8-1))</f>
        <v/>
      </c>
      <c r="K15" s="57">
        <f>IF(OR(CARTÕES!$K15=0,CARTÕES!$F15=""),0,IF(9&gt;CARTÕES!$F15,0,CARTÕES!$K15+9-1))</f>
        <v/>
      </c>
      <c r="L15" s="57">
        <f>IF(OR(CARTÕES!$K15=0,CARTÕES!$F15=""),0,IF(10&gt;CARTÕES!$F15,0,CARTÕES!$K15+10-1))</f>
        <v/>
      </c>
      <c r="M15" s="57">
        <f>IF(OR(CARTÕES!$K15=0,CARTÕES!$F15=""),0,IF(11&gt;CARTÕES!$F15,0,CARTÕES!$K15+11-1))</f>
        <v/>
      </c>
      <c r="N15" s="57">
        <f>IF(OR(CARTÕES!$K15=0,CARTÕES!$F15=""),0,IF(12&gt;CARTÕES!$F15,0,CARTÕES!$K15+12-1))</f>
        <v/>
      </c>
      <c r="O15" s="57">
        <f>IF(OR(CARTÕES!$K15=0,CARTÕES!$F15=""),0,IF(13&gt;CARTÕES!$F15,0,CARTÕES!$K15+13-1))</f>
        <v/>
      </c>
      <c r="P15" s="57">
        <f>IF(OR(CARTÕES!$K15=0,CARTÕES!$F15=""),0,IF(14&gt;CARTÕES!$F15,0,CARTÕES!$K15+14-1))</f>
        <v/>
      </c>
      <c r="Q15" s="57">
        <f>IF(OR(CARTÕES!$K15=0,CARTÕES!$F15=""),0,IF(15&gt;CARTÕES!$F15,0,CARTÕES!$K15+15-1))</f>
        <v/>
      </c>
      <c r="R15" s="57">
        <f>IF(OR(CARTÕES!$K15=0,CARTÕES!$F15=""),0,IF(16&gt;CARTÕES!$F15,0,CARTÕES!$K15+16-1))</f>
        <v/>
      </c>
      <c r="S15" s="57">
        <f>IF(OR(CARTÕES!$K15=0,CARTÕES!$F15=""),0,IF(17&gt;CARTÕES!$F15,0,CARTÕES!$K15+17-1))</f>
        <v/>
      </c>
      <c r="T15" s="57">
        <f>IF(OR(CARTÕES!$K15=0,CARTÕES!$F15=""),0,IF(18&gt;CARTÕES!$F15,0,CARTÕES!$K15+18-1))</f>
        <v/>
      </c>
      <c r="U15" s="57">
        <f>IF(OR(CARTÕES!$K15=0,CARTÕES!$F15=""),0,IF(19&gt;CARTÕES!$F15,0,CARTÕES!$K15+19-1))</f>
        <v/>
      </c>
      <c r="V15" s="57">
        <f>IF(OR(CARTÕES!$K15=0,CARTÕES!$F15=""),0,IF(20&gt;CARTÕES!$F15,0,CARTÕES!$K15+20-1))</f>
        <v/>
      </c>
      <c r="W15" s="57">
        <f>IF(OR(CARTÕES!$K15=0,CARTÕES!$F15=""),0,IF(21&gt;CARTÕES!$F15,0,CARTÕES!$K15+21-1))</f>
        <v/>
      </c>
      <c r="X15" s="57">
        <f>IF(OR(CARTÕES!$K15=0,CARTÕES!$F15=""),0,IF(22&gt;CARTÕES!$F15,0,CARTÕES!$K15+22-1))</f>
        <v/>
      </c>
      <c r="Y15" s="57">
        <f>IF(OR(CARTÕES!$K15=0,CARTÕES!$F15=""),0,IF(23&gt;CARTÕES!$F15,0,CARTÕES!$K15+23-1))</f>
        <v/>
      </c>
      <c r="Z15" s="57">
        <f>IF(OR(CARTÕES!$K15=0,CARTÕES!$F15=""),0,IF(24&gt;CARTÕES!$F15,0,CARTÕES!$K15+24-1))</f>
        <v/>
      </c>
      <c r="AA15" s="57">
        <f>IF(OR(CARTÕES!$K15=0,CARTÕES!$F15=""),0,IF(25&gt;CARTÕES!$F15,0,CARTÕES!$K15+25-1))</f>
        <v/>
      </c>
      <c r="AB15" s="57">
        <f>IF(OR(CARTÕES!$K15=0,CARTÕES!$F15=""),0,IF(26&gt;CARTÕES!$F15,0,CARTÕES!$K15+26-1))</f>
        <v/>
      </c>
      <c r="AC15" s="57">
        <f>IF(OR(CARTÕES!$K15=0,CARTÕES!$F15=""),0,IF(27&gt;CARTÕES!$F15,0,CARTÕES!$K15+27-1))</f>
        <v/>
      </c>
      <c r="AD15" s="57">
        <f>IF(OR(CARTÕES!$K15=0,CARTÕES!$F15=""),0,IF(28&gt;CARTÕES!$F15,0,CARTÕES!$K15+28-1))</f>
        <v/>
      </c>
      <c r="AE15" s="57">
        <f>IF(OR(CARTÕES!$K15=0,CARTÕES!$F15=""),0,IF(29&gt;CARTÕES!$F15,0,CARTÕES!$K15+29-1))</f>
        <v/>
      </c>
      <c r="AF15" s="57">
        <f>IF(OR(CARTÕES!$K15=0,CARTÕES!$F15=""),0,IF(30&gt;CARTÕES!$F15,0,CARTÕES!$K15+30-1))</f>
        <v/>
      </c>
      <c r="AG15" s="57">
        <f>IF(OR(CARTÕES!$K15=0,CARTÕES!$F15=""),0,IF(31&gt;CARTÕES!$F15,0,CARTÕES!$K15+31-1))</f>
        <v/>
      </c>
      <c r="AH15" s="57">
        <f>IF(OR(CARTÕES!$K15=0,CARTÕES!$F15=""),0,IF(32&gt;CARTÕES!$F15,0,CARTÕES!$K15+32-1))</f>
        <v/>
      </c>
      <c r="AI15" s="57">
        <f>IF(OR(CARTÕES!$K15=0,CARTÕES!$F15=""),0,IF(33&gt;CARTÕES!$F15,0,CARTÕES!$K15+33-1))</f>
        <v/>
      </c>
      <c r="AJ15" s="57">
        <f>IF(OR(CARTÕES!$K15=0,CARTÕES!$F15=""),0,IF(34&gt;CARTÕES!$F15,0,CARTÕES!$K15+34-1))</f>
        <v/>
      </c>
      <c r="AK15" s="57">
        <f>IF(OR(CARTÕES!$K15=0,CARTÕES!$F15=""),0,IF(35&gt;CARTÕES!$F15,0,CARTÕES!$K15+35-1))</f>
        <v/>
      </c>
      <c r="AL15" s="57">
        <f>IF(OR(CARTÕES!$K15=0,CARTÕES!$F15=""),0,IF(36&gt;CARTÕES!$F15,0,CARTÕES!$K15+36-1))</f>
        <v/>
      </c>
      <c r="AM15" s="57">
        <f>IF(C15=0,0,IF(1=CARTÕES!$F15,CARTÕES!$E15-(CARTÕES!$F15-1)*ROUND(CARTÕES!$E15/CARTÕES!$F15,0),ROUND(CARTÕES!$E15/CARTÕES!$F15,0)))</f>
        <v/>
      </c>
      <c r="AN15" s="57">
        <f>IF(D15=0,0,IF(2=CARTÕES!$F15,CARTÕES!$E15-(CARTÕES!$F15-1)*ROUND(CARTÕES!$E15/CARTÕES!$F15,0),ROUND(CARTÕES!$E15/CARTÕES!$F15,0)))</f>
        <v/>
      </c>
      <c r="AO15" s="57">
        <f>IF(E15=0,0,IF(3=CARTÕES!$F15,CARTÕES!$E15-(CARTÕES!$F15-1)*ROUND(CARTÕES!$E15/CARTÕES!$F15,0),ROUND(CARTÕES!$E15/CARTÕES!$F15,0)))</f>
        <v/>
      </c>
      <c r="AP15" s="57">
        <f>IF(F15=0,0,IF(4=CARTÕES!$F15,CARTÕES!$E15-(CARTÕES!$F15-1)*ROUND(CARTÕES!$E15/CARTÕES!$F15,0),ROUND(CARTÕES!$E15/CARTÕES!$F15,0)))</f>
        <v/>
      </c>
      <c r="AQ15" s="57">
        <f>IF(G15=0,0,IF(5=CARTÕES!$F15,CARTÕES!$E15-(CARTÕES!$F15-1)*ROUND(CARTÕES!$E15/CARTÕES!$F15,0),ROUND(CARTÕES!$E15/CARTÕES!$F15,0)))</f>
        <v/>
      </c>
      <c r="AR15" s="57">
        <f>IF(H15=0,0,IF(6=CARTÕES!$F15,CARTÕES!$E15-(CARTÕES!$F15-1)*ROUND(CARTÕES!$E15/CARTÕES!$F15,0),ROUND(CARTÕES!$E15/CARTÕES!$F15,0)))</f>
        <v/>
      </c>
      <c r="AS15" s="57">
        <f>IF(I15=0,0,IF(7=CARTÕES!$F15,CARTÕES!$E15-(CARTÕES!$F15-1)*ROUND(CARTÕES!$E15/CARTÕES!$F15,0),ROUND(CARTÕES!$E15/CARTÕES!$F15,0)))</f>
        <v/>
      </c>
      <c r="AT15" s="57">
        <f>IF(J15=0,0,IF(8=CARTÕES!$F15,CARTÕES!$E15-(CARTÕES!$F15-1)*ROUND(CARTÕES!$E15/CARTÕES!$F15,0),ROUND(CARTÕES!$E15/CARTÕES!$F15,0)))</f>
        <v/>
      </c>
      <c r="AU15" s="57">
        <f>IF(K15=0,0,IF(9=CARTÕES!$F15,CARTÕES!$E15-(CARTÕES!$F15-1)*ROUND(CARTÕES!$E15/CARTÕES!$F15,0),ROUND(CARTÕES!$E15/CARTÕES!$F15,0)))</f>
        <v/>
      </c>
      <c r="AV15" s="57">
        <f>IF(L15=0,0,IF(10=CARTÕES!$F15,CARTÕES!$E15-(CARTÕES!$F15-1)*ROUND(CARTÕES!$E15/CARTÕES!$F15,0),ROUND(CARTÕES!$E15/CARTÕES!$F15,0)))</f>
        <v/>
      </c>
      <c r="AW15" s="57">
        <f>IF(M15=0,0,IF(11=CARTÕES!$F15,CARTÕES!$E15-(CARTÕES!$F15-1)*ROUND(CARTÕES!$E15/CARTÕES!$F15,0),ROUND(CARTÕES!$E15/CARTÕES!$F15,0)))</f>
        <v/>
      </c>
      <c r="AX15" s="57">
        <f>IF(N15=0,0,IF(12=CARTÕES!$F15,CARTÕES!$E15-(CARTÕES!$F15-1)*ROUND(CARTÕES!$E15/CARTÕES!$F15,0),ROUND(CARTÕES!$E15/CARTÕES!$F15,0)))</f>
        <v/>
      </c>
      <c r="AY15" s="57">
        <f>IF(O15=0,0,IF(13=CARTÕES!$F15,CARTÕES!$E15-(CARTÕES!$F15-1)*ROUND(CARTÕES!$E15/CARTÕES!$F15,0),ROUND(CARTÕES!$E15/CARTÕES!$F15,0)))</f>
        <v/>
      </c>
      <c r="AZ15" s="57">
        <f>IF(P15=0,0,IF(14=CARTÕES!$F15,CARTÕES!$E15-(CARTÕES!$F15-1)*ROUND(CARTÕES!$E15/CARTÕES!$F15,0),ROUND(CARTÕES!$E15/CARTÕES!$F15,0)))</f>
        <v/>
      </c>
      <c r="BA15" s="57">
        <f>IF(Q15=0,0,IF(15=CARTÕES!$F15,CARTÕES!$E15-(CARTÕES!$F15-1)*ROUND(CARTÕES!$E15/CARTÕES!$F15,0),ROUND(CARTÕES!$E15/CARTÕES!$F15,0)))</f>
        <v/>
      </c>
      <c r="BB15" s="57">
        <f>IF(R15=0,0,IF(16=CARTÕES!$F15,CARTÕES!$E15-(CARTÕES!$F15-1)*ROUND(CARTÕES!$E15/CARTÕES!$F15,0),ROUND(CARTÕES!$E15/CARTÕES!$F15,0)))</f>
        <v/>
      </c>
      <c r="BC15" s="57">
        <f>IF(S15=0,0,IF(17=CARTÕES!$F15,CARTÕES!$E15-(CARTÕES!$F15-1)*ROUND(CARTÕES!$E15/CARTÕES!$F15,0),ROUND(CARTÕES!$E15/CARTÕES!$F15,0)))</f>
        <v/>
      </c>
      <c r="BD15" s="57">
        <f>IF(T15=0,0,IF(18=CARTÕES!$F15,CARTÕES!$E15-(CARTÕES!$F15-1)*ROUND(CARTÕES!$E15/CARTÕES!$F15,0),ROUND(CARTÕES!$E15/CARTÕES!$F15,0)))</f>
        <v/>
      </c>
      <c r="BE15" s="57">
        <f>IF(U15=0,0,IF(19=CARTÕES!$F15,CARTÕES!$E15-(CARTÕES!$F15-1)*ROUND(CARTÕES!$E15/CARTÕES!$F15,0),ROUND(CARTÕES!$E15/CARTÕES!$F15,0)))</f>
        <v/>
      </c>
      <c r="BF15" s="57">
        <f>IF(V15=0,0,IF(20=CARTÕES!$F15,CARTÕES!$E15-(CARTÕES!$F15-1)*ROUND(CARTÕES!$E15/CARTÕES!$F15,0),ROUND(CARTÕES!$E15/CARTÕES!$F15,0)))</f>
        <v/>
      </c>
      <c r="BG15" s="57">
        <f>IF(W15=0,0,IF(21=CARTÕES!$F15,CARTÕES!$E15-(CARTÕES!$F15-1)*ROUND(CARTÕES!$E15/CARTÕES!$F15,0),ROUND(CARTÕES!$E15/CARTÕES!$F15,0)))</f>
        <v/>
      </c>
      <c r="BH15" s="57">
        <f>IF(X15=0,0,IF(22=CARTÕES!$F15,CARTÕES!$E15-(CARTÕES!$F15-1)*ROUND(CARTÕES!$E15/CARTÕES!$F15,0),ROUND(CARTÕES!$E15/CARTÕES!$F15,0)))</f>
        <v/>
      </c>
      <c r="BI15" s="57">
        <f>IF(Y15=0,0,IF(23=CARTÕES!$F15,CARTÕES!$E15-(CARTÕES!$F15-1)*ROUND(CARTÕES!$E15/CARTÕES!$F15,0),ROUND(CARTÕES!$E15/CARTÕES!$F15,0)))</f>
        <v/>
      </c>
      <c r="BJ15" s="57">
        <f>IF(Z15=0,0,IF(24=CARTÕES!$F15,CARTÕES!$E15-(CARTÕES!$F15-1)*ROUND(CARTÕES!$E15/CARTÕES!$F15,0),ROUND(CARTÕES!$E15/CARTÕES!$F15,0)))</f>
        <v/>
      </c>
      <c r="BK15" s="57">
        <f>IF(AA15=0,0,IF(25=CARTÕES!$F15,CARTÕES!$E15-(CARTÕES!$F15-1)*ROUND(CARTÕES!$E15/CARTÕES!$F15,0),ROUND(CARTÕES!$E15/CARTÕES!$F15,0)))</f>
        <v/>
      </c>
      <c r="BL15" s="57">
        <f>IF(AB15=0,0,IF(26=CARTÕES!$F15,CARTÕES!$E15-(CARTÕES!$F15-1)*ROUND(CARTÕES!$E15/CARTÕES!$F15,0),ROUND(CARTÕES!$E15/CARTÕES!$F15,0)))</f>
        <v/>
      </c>
      <c r="BM15" s="57">
        <f>IF(AC15=0,0,IF(27=CARTÕES!$F15,CARTÕES!$E15-(CARTÕES!$F15-1)*ROUND(CARTÕES!$E15/CARTÕES!$F15,0),ROUND(CARTÕES!$E15/CARTÕES!$F15,0)))</f>
        <v/>
      </c>
      <c r="BN15" s="57">
        <f>IF(AD15=0,0,IF(28=CARTÕES!$F15,CARTÕES!$E15-(CARTÕES!$F15-1)*ROUND(CARTÕES!$E15/CARTÕES!$F15,0),ROUND(CARTÕES!$E15/CARTÕES!$F15,0)))</f>
        <v/>
      </c>
      <c r="BO15" s="57">
        <f>IF(AE15=0,0,IF(29=CARTÕES!$F15,CARTÕES!$E15-(CARTÕES!$F15-1)*ROUND(CARTÕES!$E15/CARTÕES!$F15,0),ROUND(CARTÕES!$E15/CARTÕES!$F15,0)))</f>
        <v/>
      </c>
      <c r="BP15" s="57">
        <f>IF(AF15=0,0,IF(30=CARTÕES!$F15,CARTÕES!$E15-(CARTÕES!$F15-1)*ROUND(CARTÕES!$E15/CARTÕES!$F15,0),ROUND(CARTÕES!$E15/CARTÕES!$F15,0)))</f>
        <v/>
      </c>
      <c r="BQ15" s="57">
        <f>IF(AG15=0,0,IF(31=CARTÕES!$F15,CARTÕES!$E15-(CARTÕES!$F15-1)*ROUND(CARTÕES!$E15/CARTÕES!$F15,0),ROUND(CARTÕES!$E15/CARTÕES!$F15,0)))</f>
        <v/>
      </c>
      <c r="BR15" s="57">
        <f>IF(AH15=0,0,IF(32=CARTÕES!$F15,CARTÕES!$E15-(CARTÕES!$F15-1)*ROUND(CARTÕES!$E15/CARTÕES!$F15,0),ROUND(CARTÕES!$E15/CARTÕES!$F15,0)))</f>
        <v/>
      </c>
      <c r="BS15" s="57">
        <f>IF(AI15=0,0,IF(33=CARTÕES!$F15,CARTÕES!$E15-(CARTÕES!$F15-1)*ROUND(CARTÕES!$E15/CARTÕES!$F15,0),ROUND(CARTÕES!$E15/CARTÕES!$F15,0)))</f>
        <v/>
      </c>
      <c r="BT15" s="57">
        <f>IF(AJ15=0,0,IF(34=CARTÕES!$F15,CARTÕES!$E15-(CARTÕES!$F15-1)*ROUND(CARTÕES!$E15/CARTÕES!$F15,0),ROUND(CARTÕES!$E15/CARTÕES!$F15,0)))</f>
        <v/>
      </c>
      <c r="BU15" s="57">
        <f>IF(AK15=0,0,IF(35=CARTÕES!$F15,CARTÕES!$E15-(CARTÕES!$F15-1)*ROUND(CARTÕES!$E15/CARTÕES!$F15,0),ROUND(CARTÕES!$E15/CARTÕES!$F15,0)))</f>
        <v/>
      </c>
      <c r="BV15" s="57">
        <f>IF(AL15=0,0,IF(36=CARTÕES!$F15,CARTÕES!$E15-(CARTÕES!$F15-1)*ROUND(CARTÕES!$E15/CARTÕES!$F15,0),ROUND(CARTÕES!$E15/CARTÕES!$F15,0)))</f>
        <v/>
      </c>
    </row>
    <row r="16">
      <c r="A16" s="55">
        <f>IF(CARTÕES!$C16="","",CARTÕES!$C16)</f>
        <v/>
      </c>
      <c r="B16" s="56">
        <f>SUMPRODUCT((C16:AL16='RESUMO MENSAL'!$C$4)*AM16:BV16)</f>
        <v/>
      </c>
      <c r="C16" s="57">
        <f>IF(OR(CARTÕES!$K16=0,CARTÕES!$F16=""),0,IF(1&gt;CARTÕES!$F16,0,CARTÕES!$K16+1-1))</f>
        <v/>
      </c>
      <c r="D16" s="57">
        <f>IF(OR(CARTÕES!$K16=0,CARTÕES!$F16=""),0,IF(2&gt;CARTÕES!$F16,0,CARTÕES!$K16+2-1))</f>
        <v/>
      </c>
      <c r="E16" s="57">
        <f>IF(OR(CARTÕES!$K16=0,CARTÕES!$F16=""),0,IF(3&gt;CARTÕES!$F16,0,CARTÕES!$K16+3-1))</f>
        <v/>
      </c>
      <c r="F16" s="57">
        <f>IF(OR(CARTÕES!$K16=0,CARTÕES!$F16=""),0,IF(4&gt;CARTÕES!$F16,0,CARTÕES!$K16+4-1))</f>
        <v/>
      </c>
      <c r="G16" s="57">
        <f>IF(OR(CARTÕES!$K16=0,CARTÕES!$F16=""),0,IF(5&gt;CARTÕES!$F16,0,CARTÕES!$K16+5-1))</f>
        <v/>
      </c>
      <c r="H16" s="57">
        <f>IF(OR(CARTÕES!$K16=0,CARTÕES!$F16=""),0,IF(6&gt;CARTÕES!$F16,0,CARTÕES!$K16+6-1))</f>
        <v/>
      </c>
      <c r="I16" s="57">
        <f>IF(OR(CARTÕES!$K16=0,CARTÕES!$F16=""),0,IF(7&gt;CARTÕES!$F16,0,CARTÕES!$K16+7-1))</f>
        <v/>
      </c>
      <c r="J16" s="57">
        <f>IF(OR(CARTÕES!$K16=0,CARTÕES!$F16=""),0,IF(8&gt;CARTÕES!$F16,0,CARTÕES!$K16+8-1))</f>
        <v/>
      </c>
      <c r="K16" s="57">
        <f>IF(OR(CARTÕES!$K16=0,CARTÕES!$F16=""),0,IF(9&gt;CARTÕES!$F16,0,CARTÕES!$K16+9-1))</f>
        <v/>
      </c>
      <c r="L16" s="57">
        <f>IF(OR(CARTÕES!$K16=0,CARTÕES!$F16=""),0,IF(10&gt;CARTÕES!$F16,0,CARTÕES!$K16+10-1))</f>
        <v/>
      </c>
      <c r="M16" s="57">
        <f>IF(OR(CARTÕES!$K16=0,CARTÕES!$F16=""),0,IF(11&gt;CARTÕES!$F16,0,CARTÕES!$K16+11-1))</f>
        <v/>
      </c>
      <c r="N16" s="57">
        <f>IF(OR(CARTÕES!$K16=0,CARTÕES!$F16=""),0,IF(12&gt;CARTÕES!$F16,0,CARTÕES!$K16+12-1))</f>
        <v/>
      </c>
      <c r="O16" s="57">
        <f>IF(OR(CARTÕES!$K16=0,CARTÕES!$F16=""),0,IF(13&gt;CARTÕES!$F16,0,CARTÕES!$K16+13-1))</f>
        <v/>
      </c>
      <c r="P16" s="57">
        <f>IF(OR(CARTÕES!$K16=0,CARTÕES!$F16=""),0,IF(14&gt;CARTÕES!$F16,0,CARTÕES!$K16+14-1))</f>
        <v/>
      </c>
      <c r="Q16" s="57">
        <f>IF(OR(CARTÕES!$K16=0,CARTÕES!$F16=""),0,IF(15&gt;CARTÕES!$F16,0,CARTÕES!$K16+15-1))</f>
        <v/>
      </c>
      <c r="R16" s="57">
        <f>IF(OR(CARTÕES!$K16=0,CARTÕES!$F16=""),0,IF(16&gt;CARTÕES!$F16,0,CARTÕES!$K16+16-1))</f>
        <v/>
      </c>
      <c r="S16" s="57">
        <f>IF(OR(CARTÕES!$K16=0,CARTÕES!$F16=""),0,IF(17&gt;CARTÕES!$F16,0,CARTÕES!$K16+17-1))</f>
        <v/>
      </c>
      <c r="T16" s="57">
        <f>IF(OR(CARTÕES!$K16=0,CARTÕES!$F16=""),0,IF(18&gt;CARTÕES!$F16,0,CARTÕES!$K16+18-1))</f>
        <v/>
      </c>
      <c r="U16" s="57">
        <f>IF(OR(CARTÕES!$K16=0,CARTÕES!$F16=""),0,IF(19&gt;CARTÕES!$F16,0,CARTÕES!$K16+19-1))</f>
        <v/>
      </c>
      <c r="V16" s="57">
        <f>IF(OR(CARTÕES!$K16=0,CARTÕES!$F16=""),0,IF(20&gt;CARTÕES!$F16,0,CARTÕES!$K16+20-1))</f>
        <v/>
      </c>
      <c r="W16" s="57">
        <f>IF(OR(CARTÕES!$K16=0,CARTÕES!$F16=""),0,IF(21&gt;CARTÕES!$F16,0,CARTÕES!$K16+21-1))</f>
        <v/>
      </c>
      <c r="X16" s="57">
        <f>IF(OR(CARTÕES!$K16=0,CARTÕES!$F16=""),0,IF(22&gt;CARTÕES!$F16,0,CARTÕES!$K16+22-1))</f>
        <v/>
      </c>
      <c r="Y16" s="57">
        <f>IF(OR(CARTÕES!$K16=0,CARTÕES!$F16=""),0,IF(23&gt;CARTÕES!$F16,0,CARTÕES!$K16+23-1))</f>
        <v/>
      </c>
      <c r="Z16" s="57">
        <f>IF(OR(CARTÕES!$K16=0,CARTÕES!$F16=""),0,IF(24&gt;CARTÕES!$F16,0,CARTÕES!$K16+24-1))</f>
        <v/>
      </c>
      <c r="AA16" s="57">
        <f>IF(OR(CARTÕES!$K16=0,CARTÕES!$F16=""),0,IF(25&gt;CARTÕES!$F16,0,CARTÕES!$K16+25-1))</f>
        <v/>
      </c>
      <c r="AB16" s="57">
        <f>IF(OR(CARTÕES!$K16=0,CARTÕES!$F16=""),0,IF(26&gt;CARTÕES!$F16,0,CARTÕES!$K16+26-1))</f>
        <v/>
      </c>
      <c r="AC16" s="57">
        <f>IF(OR(CARTÕES!$K16=0,CARTÕES!$F16=""),0,IF(27&gt;CARTÕES!$F16,0,CARTÕES!$K16+27-1))</f>
        <v/>
      </c>
      <c r="AD16" s="57">
        <f>IF(OR(CARTÕES!$K16=0,CARTÕES!$F16=""),0,IF(28&gt;CARTÕES!$F16,0,CARTÕES!$K16+28-1))</f>
        <v/>
      </c>
      <c r="AE16" s="57">
        <f>IF(OR(CARTÕES!$K16=0,CARTÕES!$F16=""),0,IF(29&gt;CARTÕES!$F16,0,CARTÕES!$K16+29-1))</f>
        <v/>
      </c>
      <c r="AF16" s="57">
        <f>IF(OR(CARTÕES!$K16=0,CARTÕES!$F16=""),0,IF(30&gt;CARTÕES!$F16,0,CARTÕES!$K16+30-1))</f>
        <v/>
      </c>
      <c r="AG16" s="57">
        <f>IF(OR(CARTÕES!$K16=0,CARTÕES!$F16=""),0,IF(31&gt;CARTÕES!$F16,0,CARTÕES!$K16+31-1))</f>
        <v/>
      </c>
      <c r="AH16" s="57">
        <f>IF(OR(CARTÕES!$K16=0,CARTÕES!$F16=""),0,IF(32&gt;CARTÕES!$F16,0,CARTÕES!$K16+32-1))</f>
        <v/>
      </c>
      <c r="AI16" s="57">
        <f>IF(OR(CARTÕES!$K16=0,CARTÕES!$F16=""),0,IF(33&gt;CARTÕES!$F16,0,CARTÕES!$K16+33-1))</f>
        <v/>
      </c>
      <c r="AJ16" s="57">
        <f>IF(OR(CARTÕES!$K16=0,CARTÕES!$F16=""),0,IF(34&gt;CARTÕES!$F16,0,CARTÕES!$K16+34-1))</f>
        <v/>
      </c>
      <c r="AK16" s="57">
        <f>IF(OR(CARTÕES!$K16=0,CARTÕES!$F16=""),0,IF(35&gt;CARTÕES!$F16,0,CARTÕES!$K16+35-1))</f>
        <v/>
      </c>
      <c r="AL16" s="57">
        <f>IF(OR(CARTÕES!$K16=0,CARTÕES!$F16=""),0,IF(36&gt;CARTÕES!$F16,0,CARTÕES!$K16+36-1))</f>
        <v/>
      </c>
      <c r="AM16" s="57">
        <f>IF(C16=0,0,IF(1=CARTÕES!$F16,CARTÕES!$E16-(CARTÕES!$F16-1)*ROUND(CARTÕES!$E16/CARTÕES!$F16,0),ROUND(CARTÕES!$E16/CARTÕES!$F16,0)))</f>
        <v/>
      </c>
      <c r="AN16" s="57">
        <f>IF(D16=0,0,IF(2=CARTÕES!$F16,CARTÕES!$E16-(CARTÕES!$F16-1)*ROUND(CARTÕES!$E16/CARTÕES!$F16,0),ROUND(CARTÕES!$E16/CARTÕES!$F16,0)))</f>
        <v/>
      </c>
      <c r="AO16" s="57">
        <f>IF(E16=0,0,IF(3=CARTÕES!$F16,CARTÕES!$E16-(CARTÕES!$F16-1)*ROUND(CARTÕES!$E16/CARTÕES!$F16,0),ROUND(CARTÕES!$E16/CARTÕES!$F16,0)))</f>
        <v/>
      </c>
      <c r="AP16" s="57">
        <f>IF(F16=0,0,IF(4=CARTÕES!$F16,CARTÕES!$E16-(CARTÕES!$F16-1)*ROUND(CARTÕES!$E16/CARTÕES!$F16,0),ROUND(CARTÕES!$E16/CARTÕES!$F16,0)))</f>
        <v/>
      </c>
      <c r="AQ16" s="57">
        <f>IF(G16=0,0,IF(5=CARTÕES!$F16,CARTÕES!$E16-(CARTÕES!$F16-1)*ROUND(CARTÕES!$E16/CARTÕES!$F16,0),ROUND(CARTÕES!$E16/CARTÕES!$F16,0)))</f>
        <v/>
      </c>
      <c r="AR16" s="57">
        <f>IF(H16=0,0,IF(6=CARTÕES!$F16,CARTÕES!$E16-(CARTÕES!$F16-1)*ROUND(CARTÕES!$E16/CARTÕES!$F16,0),ROUND(CARTÕES!$E16/CARTÕES!$F16,0)))</f>
        <v/>
      </c>
      <c r="AS16" s="57">
        <f>IF(I16=0,0,IF(7=CARTÕES!$F16,CARTÕES!$E16-(CARTÕES!$F16-1)*ROUND(CARTÕES!$E16/CARTÕES!$F16,0),ROUND(CARTÕES!$E16/CARTÕES!$F16,0)))</f>
        <v/>
      </c>
      <c r="AT16" s="57">
        <f>IF(J16=0,0,IF(8=CARTÕES!$F16,CARTÕES!$E16-(CARTÕES!$F16-1)*ROUND(CARTÕES!$E16/CARTÕES!$F16,0),ROUND(CARTÕES!$E16/CARTÕES!$F16,0)))</f>
        <v/>
      </c>
      <c r="AU16" s="57">
        <f>IF(K16=0,0,IF(9=CARTÕES!$F16,CARTÕES!$E16-(CARTÕES!$F16-1)*ROUND(CARTÕES!$E16/CARTÕES!$F16,0),ROUND(CARTÕES!$E16/CARTÕES!$F16,0)))</f>
        <v/>
      </c>
      <c r="AV16" s="57">
        <f>IF(L16=0,0,IF(10=CARTÕES!$F16,CARTÕES!$E16-(CARTÕES!$F16-1)*ROUND(CARTÕES!$E16/CARTÕES!$F16,0),ROUND(CARTÕES!$E16/CARTÕES!$F16,0)))</f>
        <v/>
      </c>
      <c r="AW16" s="57">
        <f>IF(M16=0,0,IF(11=CARTÕES!$F16,CARTÕES!$E16-(CARTÕES!$F16-1)*ROUND(CARTÕES!$E16/CARTÕES!$F16,0),ROUND(CARTÕES!$E16/CARTÕES!$F16,0)))</f>
        <v/>
      </c>
      <c r="AX16" s="57">
        <f>IF(N16=0,0,IF(12=CARTÕES!$F16,CARTÕES!$E16-(CARTÕES!$F16-1)*ROUND(CARTÕES!$E16/CARTÕES!$F16,0),ROUND(CARTÕES!$E16/CARTÕES!$F16,0)))</f>
        <v/>
      </c>
      <c r="AY16" s="57">
        <f>IF(O16=0,0,IF(13=CARTÕES!$F16,CARTÕES!$E16-(CARTÕES!$F16-1)*ROUND(CARTÕES!$E16/CARTÕES!$F16,0),ROUND(CARTÕES!$E16/CARTÕES!$F16,0)))</f>
        <v/>
      </c>
      <c r="AZ16" s="57">
        <f>IF(P16=0,0,IF(14=CARTÕES!$F16,CARTÕES!$E16-(CARTÕES!$F16-1)*ROUND(CARTÕES!$E16/CARTÕES!$F16,0),ROUND(CARTÕES!$E16/CARTÕES!$F16,0)))</f>
        <v/>
      </c>
      <c r="BA16" s="57">
        <f>IF(Q16=0,0,IF(15=CARTÕES!$F16,CARTÕES!$E16-(CARTÕES!$F16-1)*ROUND(CARTÕES!$E16/CARTÕES!$F16,0),ROUND(CARTÕES!$E16/CARTÕES!$F16,0)))</f>
        <v/>
      </c>
      <c r="BB16" s="57">
        <f>IF(R16=0,0,IF(16=CARTÕES!$F16,CARTÕES!$E16-(CARTÕES!$F16-1)*ROUND(CARTÕES!$E16/CARTÕES!$F16,0),ROUND(CARTÕES!$E16/CARTÕES!$F16,0)))</f>
        <v/>
      </c>
      <c r="BC16" s="57">
        <f>IF(S16=0,0,IF(17=CARTÕES!$F16,CARTÕES!$E16-(CARTÕES!$F16-1)*ROUND(CARTÕES!$E16/CARTÕES!$F16,0),ROUND(CARTÕES!$E16/CARTÕES!$F16,0)))</f>
        <v/>
      </c>
      <c r="BD16" s="57">
        <f>IF(T16=0,0,IF(18=CARTÕES!$F16,CARTÕES!$E16-(CARTÕES!$F16-1)*ROUND(CARTÕES!$E16/CARTÕES!$F16,0),ROUND(CARTÕES!$E16/CARTÕES!$F16,0)))</f>
        <v/>
      </c>
      <c r="BE16" s="57">
        <f>IF(U16=0,0,IF(19=CARTÕES!$F16,CARTÕES!$E16-(CARTÕES!$F16-1)*ROUND(CARTÕES!$E16/CARTÕES!$F16,0),ROUND(CARTÕES!$E16/CARTÕES!$F16,0)))</f>
        <v/>
      </c>
      <c r="BF16" s="57">
        <f>IF(V16=0,0,IF(20=CARTÕES!$F16,CARTÕES!$E16-(CARTÕES!$F16-1)*ROUND(CARTÕES!$E16/CARTÕES!$F16,0),ROUND(CARTÕES!$E16/CARTÕES!$F16,0)))</f>
        <v/>
      </c>
      <c r="BG16" s="57">
        <f>IF(W16=0,0,IF(21=CARTÕES!$F16,CARTÕES!$E16-(CARTÕES!$F16-1)*ROUND(CARTÕES!$E16/CARTÕES!$F16,0),ROUND(CARTÕES!$E16/CARTÕES!$F16,0)))</f>
        <v/>
      </c>
      <c r="BH16" s="57">
        <f>IF(X16=0,0,IF(22=CARTÕES!$F16,CARTÕES!$E16-(CARTÕES!$F16-1)*ROUND(CARTÕES!$E16/CARTÕES!$F16,0),ROUND(CARTÕES!$E16/CARTÕES!$F16,0)))</f>
        <v/>
      </c>
      <c r="BI16" s="57">
        <f>IF(Y16=0,0,IF(23=CARTÕES!$F16,CARTÕES!$E16-(CARTÕES!$F16-1)*ROUND(CARTÕES!$E16/CARTÕES!$F16,0),ROUND(CARTÕES!$E16/CARTÕES!$F16,0)))</f>
        <v/>
      </c>
      <c r="BJ16" s="57">
        <f>IF(Z16=0,0,IF(24=CARTÕES!$F16,CARTÕES!$E16-(CARTÕES!$F16-1)*ROUND(CARTÕES!$E16/CARTÕES!$F16,0),ROUND(CARTÕES!$E16/CARTÕES!$F16,0)))</f>
        <v/>
      </c>
      <c r="BK16" s="57">
        <f>IF(AA16=0,0,IF(25=CARTÕES!$F16,CARTÕES!$E16-(CARTÕES!$F16-1)*ROUND(CARTÕES!$E16/CARTÕES!$F16,0),ROUND(CARTÕES!$E16/CARTÕES!$F16,0)))</f>
        <v/>
      </c>
      <c r="BL16" s="57">
        <f>IF(AB16=0,0,IF(26=CARTÕES!$F16,CARTÕES!$E16-(CARTÕES!$F16-1)*ROUND(CARTÕES!$E16/CARTÕES!$F16,0),ROUND(CARTÕES!$E16/CARTÕES!$F16,0)))</f>
        <v/>
      </c>
      <c r="BM16" s="57">
        <f>IF(AC16=0,0,IF(27=CARTÕES!$F16,CARTÕES!$E16-(CARTÕES!$F16-1)*ROUND(CARTÕES!$E16/CARTÕES!$F16,0),ROUND(CARTÕES!$E16/CARTÕES!$F16,0)))</f>
        <v/>
      </c>
      <c r="BN16" s="57">
        <f>IF(AD16=0,0,IF(28=CARTÕES!$F16,CARTÕES!$E16-(CARTÕES!$F16-1)*ROUND(CARTÕES!$E16/CARTÕES!$F16,0),ROUND(CARTÕES!$E16/CARTÕES!$F16,0)))</f>
        <v/>
      </c>
      <c r="BO16" s="57">
        <f>IF(AE16=0,0,IF(29=CARTÕES!$F16,CARTÕES!$E16-(CARTÕES!$F16-1)*ROUND(CARTÕES!$E16/CARTÕES!$F16,0),ROUND(CARTÕES!$E16/CARTÕES!$F16,0)))</f>
        <v/>
      </c>
      <c r="BP16" s="57">
        <f>IF(AF16=0,0,IF(30=CARTÕES!$F16,CARTÕES!$E16-(CARTÕES!$F16-1)*ROUND(CARTÕES!$E16/CARTÕES!$F16,0),ROUND(CARTÕES!$E16/CARTÕES!$F16,0)))</f>
        <v/>
      </c>
      <c r="BQ16" s="57">
        <f>IF(AG16=0,0,IF(31=CARTÕES!$F16,CARTÕES!$E16-(CARTÕES!$F16-1)*ROUND(CARTÕES!$E16/CARTÕES!$F16,0),ROUND(CARTÕES!$E16/CARTÕES!$F16,0)))</f>
        <v/>
      </c>
      <c r="BR16" s="57">
        <f>IF(AH16=0,0,IF(32=CARTÕES!$F16,CARTÕES!$E16-(CARTÕES!$F16-1)*ROUND(CARTÕES!$E16/CARTÕES!$F16,0),ROUND(CARTÕES!$E16/CARTÕES!$F16,0)))</f>
        <v/>
      </c>
      <c r="BS16" s="57">
        <f>IF(AI16=0,0,IF(33=CARTÕES!$F16,CARTÕES!$E16-(CARTÕES!$F16-1)*ROUND(CARTÕES!$E16/CARTÕES!$F16,0),ROUND(CARTÕES!$E16/CARTÕES!$F16,0)))</f>
        <v/>
      </c>
      <c r="BT16" s="57">
        <f>IF(AJ16=0,0,IF(34=CARTÕES!$F16,CARTÕES!$E16-(CARTÕES!$F16-1)*ROUND(CARTÕES!$E16/CARTÕES!$F16,0),ROUND(CARTÕES!$E16/CARTÕES!$F16,0)))</f>
        <v/>
      </c>
      <c r="BU16" s="57">
        <f>IF(AK16=0,0,IF(35=CARTÕES!$F16,CARTÕES!$E16-(CARTÕES!$F16-1)*ROUND(CARTÕES!$E16/CARTÕES!$F16,0),ROUND(CARTÕES!$E16/CARTÕES!$F16,0)))</f>
        <v/>
      </c>
      <c r="BV16" s="57">
        <f>IF(AL16=0,0,IF(36=CARTÕES!$F16,CARTÕES!$E16-(CARTÕES!$F16-1)*ROUND(CARTÕES!$E16/CARTÕES!$F16,0),ROUND(CARTÕES!$E16/CARTÕES!$F16,0)))</f>
        <v/>
      </c>
    </row>
    <row r="17">
      <c r="A17" s="55">
        <f>IF(CARTÕES!$C17="","",CARTÕES!$C17)</f>
        <v/>
      </c>
      <c r="B17" s="56">
        <f>SUMPRODUCT((C17:AL17='RESUMO MENSAL'!$C$4)*AM17:BV17)</f>
        <v/>
      </c>
      <c r="C17" s="57">
        <f>IF(OR(CARTÕES!$K17=0,CARTÕES!$F17=""),0,IF(1&gt;CARTÕES!$F17,0,CARTÕES!$K17+1-1))</f>
        <v/>
      </c>
      <c r="D17" s="57">
        <f>IF(OR(CARTÕES!$K17=0,CARTÕES!$F17=""),0,IF(2&gt;CARTÕES!$F17,0,CARTÕES!$K17+2-1))</f>
        <v/>
      </c>
      <c r="E17" s="57">
        <f>IF(OR(CARTÕES!$K17=0,CARTÕES!$F17=""),0,IF(3&gt;CARTÕES!$F17,0,CARTÕES!$K17+3-1))</f>
        <v/>
      </c>
      <c r="F17" s="57">
        <f>IF(OR(CARTÕES!$K17=0,CARTÕES!$F17=""),0,IF(4&gt;CARTÕES!$F17,0,CARTÕES!$K17+4-1))</f>
        <v/>
      </c>
      <c r="G17" s="57">
        <f>IF(OR(CARTÕES!$K17=0,CARTÕES!$F17=""),0,IF(5&gt;CARTÕES!$F17,0,CARTÕES!$K17+5-1))</f>
        <v/>
      </c>
      <c r="H17" s="57">
        <f>IF(OR(CARTÕES!$K17=0,CARTÕES!$F17=""),0,IF(6&gt;CARTÕES!$F17,0,CARTÕES!$K17+6-1))</f>
        <v/>
      </c>
      <c r="I17" s="57">
        <f>IF(OR(CARTÕES!$K17=0,CARTÕES!$F17=""),0,IF(7&gt;CARTÕES!$F17,0,CARTÕES!$K17+7-1))</f>
        <v/>
      </c>
      <c r="J17" s="57">
        <f>IF(OR(CARTÕES!$K17=0,CARTÕES!$F17=""),0,IF(8&gt;CARTÕES!$F17,0,CARTÕES!$K17+8-1))</f>
        <v/>
      </c>
      <c r="K17" s="57">
        <f>IF(OR(CARTÕES!$K17=0,CARTÕES!$F17=""),0,IF(9&gt;CARTÕES!$F17,0,CARTÕES!$K17+9-1))</f>
        <v/>
      </c>
      <c r="L17" s="57">
        <f>IF(OR(CARTÕES!$K17=0,CARTÕES!$F17=""),0,IF(10&gt;CARTÕES!$F17,0,CARTÕES!$K17+10-1))</f>
        <v/>
      </c>
      <c r="M17" s="57">
        <f>IF(OR(CARTÕES!$K17=0,CARTÕES!$F17=""),0,IF(11&gt;CARTÕES!$F17,0,CARTÕES!$K17+11-1))</f>
        <v/>
      </c>
      <c r="N17" s="57">
        <f>IF(OR(CARTÕES!$K17=0,CARTÕES!$F17=""),0,IF(12&gt;CARTÕES!$F17,0,CARTÕES!$K17+12-1))</f>
        <v/>
      </c>
      <c r="O17" s="57">
        <f>IF(OR(CARTÕES!$K17=0,CARTÕES!$F17=""),0,IF(13&gt;CARTÕES!$F17,0,CARTÕES!$K17+13-1))</f>
        <v/>
      </c>
      <c r="P17" s="57">
        <f>IF(OR(CARTÕES!$K17=0,CARTÕES!$F17=""),0,IF(14&gt;CARTÕES!$F17,0,CARTÕES!$K17+14-1))</f>
        <v/>
      </c>
      <c r="Q17" s="57">
        <f>IF(OR(CARTÕES!$K17=0,CARTÕES!$F17=""),0,IF(15&gt;CARTÕES!$F17,0,CARTÕES!$K17+15-1))</f>
        <v/>
      </c>
      <c r="R17" s="57">
        <f>IF(OR(CARTÕES!$K17=0,CARTÕES!$F17=""),0,IF(16&gt;CARTÕES!$F17,0,CARTÕES!$K17+16-1))</f>
        <v/>
      </c>
      <c r="S17" s="57">
        <f>IF(OR(CARTÕES!$K17=0,CARTÕES!$F17=""),0,IF(17&gt;CARTÕES!$F17,0,CARTÕES!$K17+17-1))</f>
        <v/>
      </c>
      <c r="T17" s="57">
        <f>IF(OR(CARTÕES!$K17=0,CARTÕES!$F17=""),0,IF(18&gt;CARTÕES!$F17,0,CARTÕES!$K17+18-1))</f>
        <v/>
      </c>
      <c r="U17" s="57">
        <f>IF(OR(CARTÕES!$K17=0,CARTÕES!$F17=""),0,IF(19&gt;CARTÕES!$F17,0,CARTÕES!$K17+19-1))</f>
        <v/>
      </c>
      <c r="V17" s="57">
        <f>IF(OR(CARTÕES!$K17=0,CARTÕES!$F17=""),0,IF(20&gt;CARTÕES!$F17,0,CARTÕES!$K17+20-1))</f>
        <v/>
      </c>
      <c r="W17" s="57">
        <f>IF(OR(CARTÕES!$K17=0,CARTÕES!$F17=""),0,IF(21&gt;CARTÕES!$F17,0,CARTÕES!$K17+21-1))</f>
        <v/>
      </c>
      <c r="X17" s="57">
        <f>IF(OR(CARTÕES!$K17=0,CARTÕES!$F17=""),0,IF(22&gt;CARTÕES!$F17,0,CARTÕES!$K17+22-1))</f>
        <v/>
      </c>
      <c r="Y17" s="57">
        <f>IF(OR(CARTÕES!$K17=0,CARTÕES!$F17=""),0,IF(23&gt;CARTÕES!$F17,0,CARTÕES!$K17+23-1))</f>
        <v/>
      </c>
      <c r="Z17" s="57">
        <f>IF(OR(CARTÕES!$K17=0,CARTÕES!$F17=""),0,IF(24&gt;CARTÕES!$F17,0,CARTÕES!$K17+24-1))</f>
        <v/>
      </c>
      <c r="AA17" s="57">
        <f>IF(OR(CARTÕES!$K17=0,CARTÕES!$F17=""),0,IF(25&gt;CARTÕES!$F17,0,CARTÕES!$K17+25-1))</f>
        <v/>
      </c>
      <c r="AB17" s="57">
        <f>IF(OR(CARTÕES!$K17=0,CARTÕES!$F17=""),0,IF(26&gt;CARTÕES!$F17,0,CARTÕES!$K17+26-1))</f>
        <v/>
      </c>
      <c r="AC17" s="57">
        <f>IF(OR(CARTÕES!$K17=0,CARTÕES!$F17=""),0,IF(27&gt;CARTÕES!$F17,0,CARTÕES!$K17+27-1))</f>
        <v/>
      </c>
      <c r="AD17" s="57">
        <f>IF(OR(CARTÕES!$K17=0,CARTÕES!$F17=""),0,IF(28&gt;CARTÕES!$F17,0,CARTÕES!$K17+28-1))</f>
        <v/>
      </c>
      <c r="AE17" s="57">
        <f>IF(OR(CARTÕES!$K17=0,CARTÕES!$F17=""),0,IF(29&gt;CARTÕES!$F17,0,CARTÕES!$K17+29-1))</f>
        <v/>
      </c>
      <c r="AF17" s="57">
        <f>IF(OR(CARTÕES!$K17=0,CARTÕES!$F17=""),0,IF(30&gt;CARTÕES!$F17,0,CARTÕES!$K17+30-1))</f>
        <v/>
      </c>
      <c r="AG17" s="57">
        <f>IF(OR(CARTÕES!$K17=0,CARTÕES!$F17=""),0,IF(31&gt;CARTÕES!$F17,0,CARTÕES!$K17+31-1))</f>
        <v/>
      </c>
      <c r="AH17" s="57">
        <f>IF(OR(CARTÕES!$K17=0,CARTÕES!$F17=""),0,IF(32&gt;CARTÕES!$F17,0,CARTÕES!$K17+32-1))</f>
        <v/>
      </c>
      <c r="AI17" s="57">
        <f>IF(OR(CARTÕES!$K17=0,CARTÕES!$F17=""),0,IF(33&gt;CARTÕES!$F17,0,CARTÕES!$K17+33-1))</f>
        <v/>
      </c>
      <c r="AJ17" s="57">
        <f>IF(OR(CARTÕES!$K17=0,CARTÕES!$F17=""),0,IF(34&gt;CARTÕES!$F17,0,CARTÕES!$K17+34-1))</f>
        <v/>
      </c>
      <c r="AK17" s="57">
        <f>IF(OR(CARTÕES!$K17=0,CARTÕES!$F17=""),0,IF(35&gt;CARTÕES!$F17,0,CARTÕES!$K17+35-1))</f>
        <v/>
      </c>
      <c r="AL17" s="57">
        <f>IF(OR(CARTÕES!$K17=0,CARTÕES!$F17=""),0,IF(36&gt;CARTÕES!$F17,0,CARTÕES!$K17+36-1))</f>
        <v/>
      </c>
      <c r="AM17" s="57">
        <f>IF(C17=0,0,IF(1=CARTÕES!$F17,CARTÕES!$E17-(CARTÕES!$F17-1)*ROUND(CARTÕES!$E17/CARTÕES!$F17,0),ROUND(CARTÕES!$E17/CARTÕES!$F17,0)))</f>
        <v/>
      </c>
      <c r="AN17" s="57">
        <f>IF(D17=0,0,IF(2=CARTÕES!$F17,CARTÕES!$E17-(CARTÕES!$F17-1)*ROUND(CARTÕES!$E17/CARTÕES!$F17,0),ROUND(CARTÕES!$E17/CARTÕES!$F17,0)))</f>
        <v/>
      </c>
      <c r="AO17" s="57">
        <f>IF(E17=0,0,IF(3=CARTÕES!$F17,CARTÕES!$E17-(CARTÕES!$F17-1)*ROUND(CARTÕES!$E17/CARTÕES!$F17,0),ROUND(CARTÕES!$E17/CARTÕES!$F17,0)))</f>
        <v/>
      </c>
      <c r="AP17" s="57">
        <f>IF(F17=0,0,IF(4=CARTÕES!$F17,CARTÕES!$E17-(CARTÕES!$F17-1)*ROUND(CARTÕES!$E17/CARTÕES!$F17,0),ROUND(CARTÕES!$E17/CARTÕES!$F17,0)))</f>
        <v/>
      </c>
      <c r="AQ17" s="57">
        <f>IF(G17=0,0,IF(5=CARTÕES!$F17,CARTÕES!$E17-(CARTÕES!$F17-1)*ROUND(CARTÕES!$E17/CARTÕES!$F17,0),ROUND(CARTÕES!$E17/CARTÕES!$F17,0)))</f>
        <v/>
      </c>
      <c r="AR17" s="57">
        <f>IF(H17=0,0,IF(6=CARTÕES!$F17,CARTÕES!$E17-(CARTÕES!$F17-1)*ROUND(CARTÕES!$E17/CARTÕES!$F17,0),ROUND(CARTÕES!$E17/CARTÕES!$F17,0)))</f>
        <v/>
      </c>
      <c r="AS17" s="57">
        <f>IF(I17=0,0,IF(7=CARTÕES!$F17,CARTÕES!$E17-(CARTÕES!$F17-1)*ROUND(CARTÕES!$E17/CARTÕES!$F17,0),ROUND(CARTÕES!$E17/CARTÕES!$F17,0)))</f>
        <v/>
      </c>
      <c r="AT17" s="57">
        <f>IF(J17=0,0,IF(8=CARTÕES!$F17,CARTÕES!$E17-(CARTÕES!$F17-1)*ROUND(CARTÕES!$E17/CARTÕES!$F17,0),ROUND(CARTÕES!$E17/CARTÕES!$F17,0)))</f>
        <v/>
      </c>
      <c r="AU17" s="57">
        <f>IF(K17=0,0,IF(9=CARTÕES!$F17,CARTÕES!$E17-(CARTÕES!$F17-1)*ROUND(CARTÕES!$E17/CARTÕES!$F17,0),ROUND(CARTÕES!$E17/CARTÕES!$F17,0)))</f>
        <v/>
      </c>
      <c r="AV17" s="57">
        <f>IF(L17=0,0,IF(10=CARTÕES!$F17,CARTÕES!$E17-(CARTÕES!$F17-1)*ROUND(CARTÕES!$E17/CARTÕES!$F17,0),ROUND(CARTÕES!$E17/CARTÕES!$F17,0)))</f>
        <v/>
      </c>
      <c r="AW17" s="57">
        <f>IF(M17=0,0,IF(11=CARTÕES!$F17,CARTÕES!$E17-(CARTÕES!$F17-1)*ROUND(CARTÕES!$E17/CARTÕES!$F17,0),ROUND(CARTÕES!$E17/CARTÕES!$F17,0)))</f>
        <v/>
      </c>
      <c r="AX17" s="57">
        <f>IF(N17=0,0,IF(12=CARTÕES!$F17,CARTÕES!$E17-(CARTÕES!$F17-1)*ROUND(CARTÕES!$E17/CARTÕES!$F17,0),ROUND(CARTÕES!$E17/CARTÕES!$F17,0)))</f>
        <v/>
      </c>
      <c r="AY17" s="57">
        <f>IF(O17=0,0,IF(13=CARTÕES!$F17,CARTÕES!$E17-(CARTÕES!$F17-1)*ROUND(CARTÕES!$E17/CARTÕES!$F17,0),ROUND(CARTÕES!$E17/CARTÕES!$F17,0)))</f>
        <v/>
      </c>
      <c r="AZ17" s="57">
        <f>IF(P17=0,0,IF(14=CARTÕES!$F17,CARTÕES!$E17-(CARTÕES!$F17-1)*ROUND(CARTÕES!$E17/CARTÕES!$F17,0),ROUND(CARTÕES!$E17/CARTÕES!$F17,0)))</f>
        <v/>
      </c>
      <c r="BA17" s="57">
        <f>IF(Q17=0,0,IF(15=CARTÕES!$F17,CARTÕES!$E17-(CARTÕES!$F17-1)*ROUND(CARTÕES!$E17/CARTÕES!$F17,0),ROUND(CARTÕES!$E17/CARTÕES!$F17,0)))</f>
        <v/>
      </c>
      <c r="BB17" s="57">
        <f>IF(R17=0,0,IF(16=CARTÕES!$F17,CARTÕES!$E17-(CARTÕES!$F17-1)*ROUND(CARTÕES!$E17/CARTÕES!$F17,0),ROUND(CARTÕES!$E17/CARTÕES!$F17,0)))</f>
        <v/>
      </c>
      <c r="BC17" s="57">
        <f>IF(S17=0,0,IF(17=CARTÕES!$F17,CARTÕES!$E17-(CARTÕES!$F17-1)*ROUND(CARTÕES!$E17/CARTÕES!$F17,0),ROUND(CARTÕES!$E17/CARTÕES!$F17,0)))</f>
        <v/>
      </c>
      <c r="BD17" s="57">
        <f>IF(T17=0,0,IF(18=CARTÕES!$F17,CARTÕES!$E17-(CARTÕES!$F17-1)*ROUND(CARTÕES!$E17/CARTÕES!$F17,0),ROUND(CARTÕES!$E17/CARTÕES!$F17,0)))</f>
        <v/>
      </c>
      <c r="BE17" s="57">
        <f>IF(U17=0,0,IF(19=CARTÕES!$F17,CARTÕES!$E17-(CARTÕES!$F17-1)*ROUND(CARTÕES!$E17/CARTÕES!$F17,0),ROUND(CARTÕES!$E17/CARTÕES!$F17,0)))</f>
        <v/>
      </c>
      <c r="BF17" s="57">
        <f>IF(V17=0,0,IF(20=CARTÕES!$F17,CARTÕES!$E17-(CARTÕES!$F17-1)*ROUND(CARTÕES!$E17/CARTÕES!$F17,0),ROUND(CARTÕES!$E17/CARTÕES!$F17,0)))</f>
        <v/>
      </c>
      <c r="BG17" s="57">
        <f>IF(W17=0,0,IF(21=CARTÕES!$F17,CARTÕES!$E17-(CARTÕES!$F17-1)*ROUND(CARTÕES!$E17/CARTÕES!$F17,0),ROUND(CARTÕES!$E17/CARTÕES!$F17,0)))</f>
        <v/>
      </c>
      <c r="BH17" s="57">
        <f>IF(X17=0,0,IF(22=CARTÕES!$F17,CARTÕES!$E17-(CARTÕES!$F17-1)*ROUND(CARTÕES!$E17/CARTÕES!$F17,0),ROUND(CARTÕES!$E17/CARTÕES!$F17,0)))</f>
        <v/>
      </c>
      <c r="BI17" s="57">
        <f>IF(Y17=0,0,IF(23=CARTÕES!$F17,CARTÕES!$E17-(CARTÕES!$F17-1)*ROUND(CARTÕES!$E17/CARTÕES!$F17,0),ROUND(CARTÕES!$E17/CARTÕES!$F17,0)))</f>
        <v/>
      </c>
      <c r="BJ17" s="57">
        <f>IF(Z17=0,0,IF(24=CARTÕES!$F17,CARTÕES!$E17-(CARTÕES!$F17-1)*ROUND(CARTÕES!$E17/CARTÕES!$F17,0),ROUND(CARTÕES!$E17/CARTÕES!$F17,0)))</f>
        <v/>
      </c>
      <c r="BK17" s="57">
        <f>IF(AA17=0,0,IF(25=CARTÕES!$F17,CARTÕES!$E17-(CARTÕES!$F17-1)*ROUND(CARTÕES!$E17/CARTÕES!$F17,0),ROUND(CARTÕES!$E17/CARTÕES!$F17,0)))</f>
        <v/>
      </c>
      <c r="BL17" s="57">
        <f>IF(AB17=0,0,IF(26=CARTÕES!$F17,CARTÕES!$E17-(CARTÕES!$F17-1)*ROUND(CARTÕES!$E17/CARTÕES!$F17,0),ROUND(CARTÕES!$E17/CARTÕES!$F17,0)))</f>
        <v/>
      </c>
      <c r="BM17" s="57">
        <f>IF(AC17=0,0,IF(27=CARTÕES!$F17,CARTÕES!$E17-(CARTÕES!$F17-1)*ROUND(CARTÕES!$E17/CARTÕES!$F17,0),ROUND(CARTÕES!$E17/CARTÕES!$F17,0)))</f>
        <v/>
      </c>
      <c r="BN17" s="57">
        <f>IF(AD17=0,0,IF(28=CARTÕES!$F17,CARTÕES!$E17-(CARTÕES!$F17-1)*ROUND(CARTÕES!$E17/CARTÕES!$F17,0),ROUND(CARTÕES!$E17/CARTÕES!$F17,0)))</f>
        <v/>
      </c>
      <c r="BO17" s="57">
        <f>IF(AE17=0,0,IF(29=CARTÕES!$F17,CARTÕES!$E17-(CARTÕES!$F17-1)*ROUND(CARTÕES!$E17/CARTÕES!$F17,0),ROUND(CARTÕES!$E17/CARTÕES!$F17,0)))</f>
        <v/>
      </c>
      <c r="BP17" s="57">
        <f>IF(AF17=0,0,IF(30=CARTÕES!$F17,CARTÕES!$E17-(CARTÕES!$F17-1)*ROUND(CARTÕES!$E17/CARTÕES!$F17,0),ROUND(CARTÕES!$E17/CARTÕES!$F17,0)))</f>
        <v/>
      </c>
      <c r="BQ17" s="57">
        <f>IF(AG17=0,0,IF(31=CARTÕES!$F17,CARTÕES!$E17-(CARTÕES!$F17-1)*ROUND(CARTÕES!$E17/CARTÕES!$F17,0),ROUND(CARTÕES!$E17/CARTÕES!$F17,0)))</f>
        <v/>
      </c>
      <c r="BR17" s="57">
        <f>IF(AH17=0,0,IF(32=CARTÕES!$F17,CARTÕES!$E17-(CARTÕES!$F17-1)*ROUND(CARTÕES!$E17/CARTÕES!$F17,0),ROUND(CARTÕES!$E17/CARTÕES!$F17,0)))</f>
        <v/>
      </c>
      <c r="BS17" s="57">
        <f>IF(AI17=0,0,IF(33=CARTÕES!$F17,CARTÕES!$E17-(CARTÕES!$F17-1)*ROUND(CARTÕES!$E17/CARTÕES!$F17,0),ROUND(CARTÕES!$E17/CARTÕES!$F17,0)))</f>
        <v/>
      </c>
      <c r="BT17" s="57">
        <f>IF(AJ17=0,0,IF(34=CARTÕES!$F17,CARTÕES!$E17-(CARTÕES!$F17-1)*ROUND(CARTÕES!$E17/CARTÕES!$F17,0),ROUND(CARTÕES!$E17/CARTÕES!$F17,0)))</f>
        <v/>
      </c>
      <c r="BU17" s="57">
        <f>IF(AK17=0,0,IF(35=CARTÕES!$F17,CARTÕES!$E17-(CARTÕES!$F17-1)*ROUND(CARTÕES!$E17/CARTÕES!$F17,0),ROUND(CARTÕES!$E17/CARTÕES!$F17,0)))</f>
        <v/>
      </c>
      <c r="BV17" s="57">
        <f>IF(AL17=0,0,IF(36=CARTÕES!$F17,CARTÕES!$E17-(CARTÕES!$F17-1)*ROUND(CARTÕES!$E17/CARTÕES!$F17,0),ROUND(CARTÕES!$E17/CARTÕES!$F17,0)))</f>
        <v/>
      </c>
    </row>
    <row r="18">
      <c r="A18" s="55">
        <f>IF(CARTÕES!$C18="","",CARTÕES!$C18)</f>
        <v/>
      </c>
      <c r="B18" s="56">
        <f>SUMPRODUCT((C18:AL18='RESUMO MENSAL'!$C$4)*AM18:BV18)</f>
        <v/>
      </c>
      <c r="C18" s="57">
        <f>IF(OR(CARTÕES!$K18=0,CARTÕES!$F18=""),0,IF(1&gt;CARTÕES!$F18,0,CARTÕES!$K18+1-1))</f>
        <v/>
      </c>
      <c r="D18" s="57">
        <f>IF(OR(CARTÕES!$K18=0,CARTÕES!$F18=""),0,IF(2&gt;CARTÕES!$F18,0,CARTÕES!$K18+2-1))</f>
        <v/>
      </c>
      <c r="E18" s="57">
        <f>IF(OR(CARTÕES!$K18=0,CARTÕES!$F18=""),0,IF(3&gt;CARTÕES!$F18,0,CARTÕES!$K18+3-1))</f>
        <v/>
      </c>
      <c r="F18" s="57">
        <f>IF(OR(CARTÕES!$K18=0,CARTÕES!$F18=""),0,IF(4&gt;CARTÕES!$F18,0,CARTÕES!$K18+4-1))</f>
        <v/>
      </c>
      <c r="G18" s="57">
        <f>IF(OR(CARTÕES!$K18=0,CARTÕES!$F18=""),0,IF(5&gt;CARTÕES!$F18,0,CARTÕES!$K18+5-1))</f>
        <v/>
      </c>
      <c r="H18" s="57">
        <f>IF(OR(CARTÕES!$K18=0,CARTÕES!$F18=""),0,IF(6&gt;CARTÕES!$F18,0,CARTÕES!$K18+6-1))</f>
        <v/>
      </c>
      <c r="I18" s="57">
        <f>IF(OR(CARTÕES!$K18=0,CARTÕES!$F18=""),0,IF(7&gt;CARTÕES!$F18,0,CARTÕES!$K18+7-1))</f>
        <v/>
      </c>
      <c r="J18" s="57">
        <f>IF(OR(CARTÕES!$K18=0,CARTÕES!$F18=""),0,IF(8&gt;CARTÕES!$F18,0,CARTÕES!$K18+8-1))</f>
        <v/>
      </c>
      <c r="K18" s="57">
        <f>IF(OR(CARTÕES!$K18=0,CARTÕES!$F18=""),0,IF(9&gt;CARTÕES!$F18,0,CARTÕES!$K18+9-1))</f>
        <v/>
      </c>
      <c r="L18" s="57">
        <f>IF(OR(CARTÕES!$K18=0,CARTÕES!$F18=""),0,IF(10&gt;CARTÕES!$F18,0,CARTÕES!$K18+10-1))</f>
        <v/>
      </c>
      <c r="M18" s="57">
        <f>IF(OR(CARTÕES!$K18=0,CARTÕES!$F18=""),0,IF(11&gt;CARTÕES!$F18,0,CARTÕES!$K18+11-1))</f>
        <v/>
      </c>
      <c r="N18" s="57">
        <f>IF(OR(CARTÕES!$K18=0,CARTÕES!$F18=""),0,IF(12&gt;CARTÕES!$F18,0,CARTÕES!$K18+12-1))</f>
        <v/>
      </c>
      <c r="O18" s="57">
        <f>IF(OR(CARTÕES!$K18=0,CARTÕES!$F18=""),0,IF(13&gt;CARTÕES!$F18,0,CARTÕES!$K18+13-1))</f>
        <v/>
      </c>
      <c r="P18" s="57">
        <f>IF(OR(CARTÕES!$K18=0,CARTÕES!$F18=""),0,IF(14&gt;CARTÕES!$F18,0,CARTÕES!$K18+14-1))</f>
        <v/>
      </c>
      <c r="Q18" s="57">
        <f>IF(OR(CARTÕES!$K18=0,CARTÕES!$F18=""),0,IF(15&gt;CARTÕES!$F18,0,CARTÕES!$K18+15-1))</f>
        <v/>
      </c>
      <c r="R18" s="57">
        <f>IF(OR(CARTÕES!$K18=0,CARTÕES!$F18=""),0,IF(16&gt;CARTÕES!$F18,0,CARTÕES!$K18+16-1))</f>
        <v/>
      </c>
      <c r="S18" s="57">
        <f>IF(OR(CARTÕES!$K18=0,CARTÕES!$F18=""),0,IF(17&gt;CARTÕES!$F18,0,CARTÕES!$K18+17-1))</f>
        <v/>
      </c>
      <c r="T18" s="57">
        <f>IF(OR(CARTÕES!$K18=0,CARTÕES!$F18=""),0,IF(18&gt;CARTÕES!$F18,0,CARTÕES!$K18+18-1))</f>
        <v/>
      </c>
      <c r="U18" s="57">
        <f>IF(OR(CARTÕES!$K18=0,CARTÕES!$F18=""),0,IF(19&gt;CARTÕES!$F18,0,CARTÕES!$K18+19-1))</f>
        <v/>
      </c>
      <c r="V18" s="57">
        <f>IF(OR(CARTÕES!$K18=0,CARTÕES!$F18=""),0,IF(20&gt;CARTÕES!$F18,0,CARTÕES!$K18+20-1))</f>
        <v/>
      </c>
      <c r="W18" s="57">
        <f>IF(OR(CARTÕES!$K18=0,CARTÕES!$F18=""),0,IF(21&gt;CARTÕES!$F18,0,CARTÕES!$K18+21-1))</f>
        <v/>
      </c>
      <c r="X18" s="57">
        <f>IF(OR(CARTÕES!$K18=0,CARTÕES!$F18=""),0,IF(22&gt;CARTÕES!$F18,0,CARTÕES!$K18+22-1))</f>
        <v/>
      </c>
      <c r="Y18" s="57">
        <f>IF(OR(CARTÕES!$K18=0,CARTÕES!$F18=""),0,IF(23&gt;CARTÕES!$F18,0,CARTÕES!$K18+23-1))</f>
        <v/>
      </c>
      <c r="Z18" s="57">
        <f>IF(OR(CARTÕES!$K18=0,CARTÕES!$F18=""),0,IF(24&gt;CARTÕES!$F18,0,CARTÕES!$K18+24-1))</f>
        <v/>
      </c>
      <c r="AA18" s="57">
        <f>IF(OR(CARTÕES!$K18=0,CARTÕES!$F18=""),0,IF(25&gt;CARTÕES!$F18,0,CARTÕES!$K18+25-1))</f>
        <v/>
      </c>
      <c r="AB18" s="57">
        <f>IF(OR(CARTÕES!$K18=0,CARTÕES!$F18=""),0,IF(26&gt;CARTÕES!$F18,0,CARTÕES!$K18+26-1))</f>
        <v/>
      </c>
      <c r="AC18" s="57">
        <f>IF(OR(CARTÕES!$K18=0,CARTÕES!$F18=""),0,IF(27&gt;CARTÕES!$F18,0,CARTÕES!$K18+27-1))</f>
        <v/>
      </c>
      <c r="AD18" s="57">
        <f>IF(OR(CARTÕES!$K18=0,CARTÕES!$F18=""),0,IF(28&gt;CARTÕES!$F18,0,CARTÕES!$K18+28-1))</f>
        <v/>
      </c>
      <c r="AE18" s="57">
        <f>IF(OR(CARTÕES!$K18=0,CARTÕES!$F18=""),0,IF(29&gt;CARTÕES!$F18,0,CARTÕES!$K18+29-1))</f>
        <v/>
      </c>
      <c r="AF18" s="57">
        <f>IF(OR(CARTÕES!$K18=0,CARTÕES!$F18=""),0,IF(30&gt;CARTÕES!$F18,0,CARTÕES!$K18+30-1))</f>
        <v/>
      </c>
      <c r="AG18" s="57">
        <f>IF(OR(CARTÕES!$K18=0,CARTÕES!$F18=""),0,IF(31&gt;CARTÕES!$F18,0,CARTÕES!$K18+31-1))</f>
        <v/>
      </c>
      <c r="AH18" s="57">
        <f>IF(OR(CARTÕES!$K18=0,CARTÕES!$F18=""),0,IF(32&gt;CARTÕES!$F18,0,CARTÕES!$K18+32-1))</f>
        <v/>
      </c>
      <c r="AI18" s="57">
        <f>IF(OR(CARTÕES!$K18=0,CARTÕES!$F18=""),0,IF(33&gt;CARTÕES!$F18,0,CARTÕES!$K18+33-1))</f>
        <v/>
      </c>
      <c r="AJ18" s="57">
        <f>IF(OR(CARTÕES!$K18=0,CARTÕES!$F18=""),0,IF(34&gt;CARTÕES!$F18,0,CARTÕES!$K18+34-1))</f>
        <v/>
      </c>
      <c r="AK18" s="57">
        <f>IF(OR(CARTÕES!$K18=0,CARTÕES!$F18=""),0,IF(35&gt;CARTÕES!$F18,0,CARTÕES!$K18+35-1))</f>
        <v/>
      </c>
      <c r="AL18" s="57">
        <f>IF(OR(CARTÕES!$K18=0,CARTÕES!$F18=""),0,IF(36&gt;CARTÕES!$F18,0,CARTÕES!$K18+36-1))</f>
        <v/>
      </c>
      <c r="AM18" s="57">
        <f>IF(C18=0,0,IF(1=CARTÕES!$F18,CARTÕES!$E18-(CARTÕES!$F18-1)*ROUND(CARTÕES!$E18/CARTÕES!$F18,0),ROUND(CARTÕES!$E18/CARTÕES!$F18,0)))</f>
        <v/>
      </c>
      <c r="AN18" s="57">
        <f>IF(D18=0,0,IF(2=CARTÕES!$F18,CARTÕES!$E18-(CARTÕES!$F18-1)*ROUND(CARTÕES!$E18/CARTÕES!$F18,0),ROUND(CARTÕES!$E18/CARTÕES!$F18,0)))</f>
        <v/>
      </c>
      <c r="AO18" s="57">
        <f>IF(E18=0,0,IF(3=CARTÕES!$F18,CARTÕES!$E18-(CARTÕES!$F18-1)*ROUND(CARTÕES!$E18/CARTÕES!$F18,0),ROUND(CARTÕES!$E18/CARTÕES!$F18,0)))</f>
        <v/>
      </c>
      <c r="AP18" s="57">
        <f>IF(F18=0,0,IF(4=CARTÕES!$F18,CARTÕES!$E18-(CARTÕES!$F18-1)*ROUND(CARTÕES!$E18/CARTÕES!$F18,0),ROUND(CARTÕES!$E18/CARTÕES!$F18,0)))</f>
        <v/>
      </c>
      <c r="AQ18" s="57">
        <f>IF(G18=0,0,IF(5=CARTÕES!$F18,CARTÕES!$E18-(CARTÕES!$F18-1)*ROUND(CARTÕES!$E18/CARTÕES!$F18,0),ROUND(CARTÕES!$E18/CARTÕES!$F18,0)))</f>
        <v/>
      </c>
      <c r="AR18" s="57">
        <f>IF(H18=0,0,IF(6=CARTÕES!$F18,CARTÕES!$E18-(CARTÕES!$F18-1)*ROUND(CARTÕES!$E18/CARTÕES!$F18,0),ROUND(CARTÕES!$E18/CARTÕES!$F18,0)))</f>
        <v/>
      </c>
      <c r="AS18" s="57">
        <f>IF(I18=0,0,IF(7=CARTÕES!$F18,CARTÕES!$E18-(CARTÕES!$F18-1)*ROUND(CARTÕES!$E18/CARTÕES!$F18,0),ROUND(CARTÕES!$E18/CARTÕES!$F18,0)))</f>
        <v/>
      </c>
      <c r="AT18" s="57">
        <f>IF(J18=0,0,IF(8=CARTÕES!$F18,CARTÕES!$E18-(CARTÕES!$F18-1)*ROUND(CARTÕES!$E18/CARTÕES!$F18,0),ROUND(CARTÕES!$E18/CARTÕES!$F18,0)))</f>
        <v/>
      </c>
      <c r="AU18" s="57">
        <f>IF(K18=0,0,IF(9=CARTÕES!$F18,CARTÕES!$E18-(CARTÕES!$F18-1)*ROUND(CARTÕES!$E18/CARTÕES!$F18,0),ROUND(CARTÕES!$E18/CARTÕES!$F18,0)))</f>
        <v/>
      </c>
      <c r="AV18" s="57">
        <f>IF(L18=0,0,IF(10=CARTÕES!$F18,CARTÕES!$E18-(CARTÕES!$F18-1)*ROUND(CARTÕES!$E18/CARTÕES!$F18,0),ROUND(CARTÕES!$E18/CARTÕES!$F18,0)))</f>
        <v/>
      </c>
      <c r="AW18" s="57">
        <f>IF(M18=0,0,IF(11=CARTÕES!$F18,CARTÕES!$E18-(CARTÕES!$F18-1)*ROUND(CARTÕES!$E18/CARTÕES!$F18,0),ROUND(CARTÕES!$E18/CARTÕES!$F18,0)))</f>
        <v/>
      </c>
      <c r="AX18" s="57">
        <f>IF(N18=0,0,IF(12=CARTÕES!$F18,CARTÕES!$E18-(CARTÕES!$F18-1)*ROUND(CARTÕES!$E18/CARTÕES!$F18,0),ROUND(CARTÕES!$E18/CARTÕES!$F18,0)))</f>
        <v/>
      </c>
      <c r="AY18" s="57">
        <f>IF(O18=0,0,IF(13=CARTÕES!$F18,CARTÕES!$E18-(CARTÕES!$F18-1)*ROUND(CARTÕES!$E18/CARTÕES!$F18,0),ROUND(CARTÕES!$E18/CARTÕES!$F18,0)))</f>
        <v/>
      </c>
      <c r="AZ18" s="57">
        <f>IF(P18=0,0,IF(14=CARTÕES!$F18,CARTÕES!$E18-(CARTÕES!$F18-1)*ROUND(CARTÕES!$E18/CARTÕES!$F18,0),ROUND(CARTÕES!$E18/CARTÕES!$F18,0)))</f>
        <v/>
      </c>
      <c r="BA18" s="57">
        <f>IF(Q18=0,0,IF(15=CARTÕES!$F18,CARTÕES!$E18-(CARTÕES!$F18-1)*ROUND(CARTÕES!$E18/CARTÕES!$F18,0),ROUND(CARTÕES!$E18/CARTÕES!$F18,0)))</f>
        <v/>
      </c>
      <c r="BB18" s="57">
        <f>IF(R18=0,0,IF(16=CARTÕES!$F18,CARTÕES!$E18-(CARTÕES!$F18-1)*ROUND(CARTÕES!$E18/CARTÕES!$F18,0),ROUND(CARTÕES!$E18/CARTÕES!$F18,0)))</f>
        <v/>
      </c>
      <c r="BC18" s="57">
        <f>IF(S18=0,0,IF(17=CARTÕES!$F18,CARTÕES!$E18-(CARTÕES!$F18-1)*ROUND(CARTÕES!$E18/CARTÕES!$F18,0),ROUND(CARTÕES!$E18/CARTÕES!$F18,0)))</f>
        <v/>
      </c>
      <c r="BD18" s="57">
        <f>IF(T18=0,0,IF(18=CARTÕES!$F18,CARTÕES!$E18-(CARTÕES!$F18-1)*ROUND(CARTÕES!$E18/CARTÕES!$F18,0),ROUND(CARTÕES!$E18/CARTÕES!$F18,0)))</f>
        <v/>
      </c>
      <c r="BE18" s="57">
        <f>IF(U18=0,0,IF(19=CARTÕES!$F18,CARTÕES!$E18-(CARTÕES!$F18-1)*ROUND(CARTÕES!$E18/CARTÕES!$F18,0),ROUND(CARTÕES!$E18/CARTÕES!$F18,0)))</f>
        <v/>
      </c>
      <c r="BF18" s="57">
        <f>IF(V18=0,0,IF(20=CARTÕES!$F18,CARTÕES!$E18-(CARTÕES!$F18-1)*ROUND(CARTÕES!$E18/CARTÕES!$F18,0),ROUND(CARTÕES!$E18/CARTÕES!$F18,0)))</f>
        <v/>
      </c>
      <c r="BG18" s="57">
        <f>IF(W18=0,0,IF(21=CARTÕES!$F18,CARTÕES!$E18-(CARTÕES!$F18-1)*ROUND(CARTÕES!$E18/CARTÕES!$F18,0),ROUND(CARTÕES!$E18/CARTÕES!$F18,0)))</f>
        <v/>
      </c>
      <c r="BH18" s="57">
        <f>IF(X18=0,0,IF(22=CARTÕES!$F18,CARTÕES!$E18-(CARTÕES!$F18-1)*ROUND(CARTÕES!$E18/CARTÕES!$F18,0),ROUND(CARTÕES!$E18/CARTÕES!$F18,0)))</f>
        <v/>
      </c>
      <c r="BI18" s="57">
        <f>IF(Y18=0,0,IF(23=CARTÕES!$F18,CARTÕES!$E18-(CARTÕES!$F18-1)*ROUND(CARTÕES!$E18/CARTÕES!$F18,0),ROUND(CARTÕES!$E18/CARTÕES!$F18,0)))</f>
        <v/>
      </c>
      <c r="BJ18" s="57">
        <f>IF(Z18=0,0,IF(24=CARTÕES!$F18,CARTÕES!$E18-(CARTÕES!$F18-1)*ROUND(CARTÕES!$E18/CARTÕES!$F18,0),ROUND(CARTÕES!$E18/CARTÕES!$F18,0)))</f>
        <v/>
      </c>
      <c r="BK18" s="57">
        <f>IF(AA18=0,0,IF(25=CARTÕES!$F18,CARTÕES!$E18-(CARTÕES!$F18-1)*ROUND(CARTÕES!$E18/CARTÕES!$F18,0),ROUND(CARTÕES!$E18/CARTÕES!$F18,0)))</f>
        <v/>
      </c>
      <c r="BL18" s="57">
        <f>IF(AB18=0,0,IF(26=CARTÕES!$F18,CARTÕES!$E18-(CARTÕES!$F18-1)*ROUND(CARTÕES!$E18/CARTÕES!$F18,0),ROUND(CARTÕES!$E18/CARTÕES!$F18,0)))</f>
        <v/>
      </c>
      <c r="BM18" s="57">
        <f>IF(AC18=0,0,IF(27=CARTÕES!$F18,CARTÕES!$E18-(CARTÕES!$F18-1)*ROUND(CARTÕES!$E18/CARTÕES!$F18,0),ROUND(CARTÕES!$E18/CARTÕES!$F18,0)))</f>
        <v/>
      </c>
      <c r="BN18" s="57">
        <f>IF(AD18=0,0,IF(28=CARTÕES!$F18,CARTÕES!$E18-(CARTÕES!$F18-1)*ROUND(CARTÕES!$E18/CARTÕES!$F18,0),ROUND(CARTÕES!$E18/CARTÕES!$F18,0)))</f>
        <v/>
      </c>
      <c r="BO18" s="57">
        <f>IF(AE18=0,0,IF(29=CARTÕES!$F18,CARTÕES!$E18-(CARTÕES!$F18-1)*ROUND(CARTÕES!$E18/CARTÕES!$F18,0),ROUND(CARTÕES!$E18/CARTÕES!$F18,0)))</f>
        <v/>
      </c>
      <c r="BP18" s="57">
        <f>IF(AF18=0,0,IF(30=CARTÕES!$F18,CARTÕES!$E18-(CARTÕES!$F18-1)*ROUND(CARTÕES!$E18/CARTÕES!$F18,0),ROUND(CARTÕES!$E18/CARTÕES!$F18,0)))</f>
        <v/>
      </c>
      <c r="BQ18" s="57">
        <f>IF(AG18=0,0,IF(31=CARTÕES!$F18,CARTÕES!$E18-(CARTÕES!$F18-1)*ROUND(CARTÕES!$E18/CARTÕES!$F18,0),ROUND(CARTÕES!$E18/CARTÕES!$F18,0)))</f>
        <v/>
      </c>
      <c r="BR18" s="57">
        <f>IF(AH18=0,0,IF(32=CARTÕES!$F18,CARTÕES!$E18-(CARTÕES!$F18-1)*ROUND(CARTÕES!$E18/CARTÕES!$F18,0),ROUND(CARTÕES!$E18/CARTÕES!$F18,0)))</f>
        <v/>
      </c>
      <c r="BS18" s="57">
        <f>IF(AI18=0,0,IF(33=CARTÕES!$F18,CARTÕES!$E18-(CARTÕES!$F18-1)*ROUND(CARTÕES!$E18/CARTÕES!$F18,0),ROUND(CARTÕES!$E18/CARTÕES!$F18,0)))</f>
        <v/>
      </c>
      <c r="BT18" s="57">
        <f>IF(AJ18=0,0,IF(34=CARTÕES!$F18,CARTÕES!$E18-(CARTÕES!$F18-1)*ROUND(CARTÕES!$E18/CARTÕES!$F18,0),ROUND(CARTÕES!$E18/CARTÕES!$F18,0)))</f>
        <v/>
      </c>
      <c r="BU18" s="57">
        <f>IF(AK18=0,0,IF(35=CARTÕES!$F18,CARTÕES!$E18-(CARTÕES!$F18-1)*ROUND(CARTÕES!$E18/CARTÕES!$F18,0),ROUND(CARTÕES!$E18/CARTÕES!$F18,0)))</f>
        <v/>
      </c>
      <c r="BV18" s="57">
        <f>IF(AL18=0,0,IF(36=CARTÕES!$F18,CARTÕES!$E18-(CARTÕES!$F18-1)*ROUND(CARTÕES!$E18/CARTÕES!$F18,0),ROUND(CARTÕES!$E18/CARTÕES!$F18,0)))</f>
        <v/>
      </c>
    </row>
    <row r="19">
      <c r="A19" s="55">
        <f>IF(CARTÕES!$C19="","",CARTÕES!$C19)</f>
        <v/>
      </c>
      <c r="B19" s="56">
        <f>SUMPRODUCT((C19:AL19='RESUMO MENSAL'!$C$4)*AM19:BV19)</f>
        <v/>
      </c>
      <c r="C19" s="57">
        <f>IF(OR(CARTÕES!$K19=0,CARTÕES!$F19=""),0,IF(1&gt;CARTÕES!$F19,0,CARTÕES!$K19+1-1))</f>
        <v/>
      </c>
      <c r="D19" s="57">
        <f>IF(OR(CARTÕES!$K19=0,CARTÕES!$F19=""),0,IF(2&gt;CARTÕES!$F19,0,CARTÕES!$K19+2-1))</f>
        <v/>
      </c>
      <c r="E19" s="57">
        <f>IF(OR(CARTÕES!$K19=0,CARTÕES!$F19=""),0,IF(3&gt;CARTÕES!$F19,0,CARTÕES!$K19+3-1))</f>
        <v/>
      </c>
      <c r="F19" s="57">
        <f>IF(OR(CARTÕES!$K19=0,CARTÕES!$F19=""),0,IF(4&gt;CARTÕES!$F19,0,CARTÕES!$K19+4-1))</f>
        <v/>
      </c>
      <c r="G19" s="57">
        <f>IF(OR(CARTÕES!$K19=0,CARTÕES!$F19=""),0,IF(5&gt;CARTÕES!$F19,0,CARTÕES!$K19+5-1))</f>
        <v/>
      </c>
      <c r="H19" s="57">
        <f>IF(OR(CARTÕES!$K19=0,CARTÕES!$F19=""),0,IF(6&gt;CARTÕES!$F19,0,CARTÕES!$K19+6-1))</f>
        <v/>
      </c>
      <c r="I19" s="57">
        <f>IF(OR(CARTÕES!$K19=0,CARTÕES!$F19=""),0,IF(7&gt;CARTÕES!$F19,0,CARTÕES!$K19+7-1))</f>
        <v/>
      </c>
      <c r="J19" s="57">
        <f>IF(OR(CARTÕES!$K19=0,CARTÕES!$F19=""),0,IF(8&gt;CARTÕES!$F19,0,CARTÕES!$K19+8-1))</f>
        <v/>
      </c>
      <c r="K19" s="57">
        <f>IF(OR(CARTÕES!$K19=0,CARTÕES!$F19=""),0,IF(9&gt;CARTÕES!$F19,0,CARTÕES!$K19+9-1))</f>
        <v/>
      </c>
      <c r="L19" s="57">
        <f>IF(OR(CARTÕES!$K19=0,CARTÕES!$F19=""),0,IF(10&gt;CARTÕES!$F19,0,CARTÕES!$K19+10-1))</f>
        <v/>
      </c>
      <c r="M19" s="57">
        <f>IF(OR(CARTÕES!$K19=0,CARTÕES!$F19=""),0,IF(11&gt;CARTÕES!$F19,0,CARTÕES!$K19+11-1))</f>
        <v/>
      </c>
      <c r="N19" s="57">
        <f>IF(OR(CARTÕES!$K19=0,CARTÕES!$F19=""),0,IF(12&gt;CARTÕES!$F19,0,CARTÕES!$K19+12-1))</f>
        <v/>
      </c>
      <c r="O19" s="57">
        <f>IF(OR(CARTÕES!$K19=0,CARTÕES!$F19=""),0,IF(13&gt;CARTÕES!$F19,0,CARTÕES!$K19+13-1))</f>
        <v/>
      </c>
      <c r="P19" s="57">
        <f>IF(OR(CARTÕES!$K19=0,CARTÕES!$F19=""),0,IF(14&gt;CARTÕES!$F19,0,CARTÕES!$K19+14-1))</f>
        <v/>
      </c>
      <c r="Q19" s="57">
        <f>IF(OR(CARTÕES!$K19=0,CARTÕES!$F19=""),0,IF(15&gt;CARTÕES!$F19,0,CARTÕES!$K19+15-1))</f>
        <v/>
      </c>
      <c r="R19" s="57">
        <f>IF(OR(CARTÕES!$K19=0,CARTÕES!$F19=""),0,IF(16&gt;CARTÕES!$F19,0,CARTÕES!$K19+16-1))</f>
        <v/>
      </c>
      <c r="S19" s="57">
        <f>IF(OR(CARTÕES!$K19=0,CARTÕES!$F19=""),0,IF(17&gt;CARTÕES!$F19,0,CARTÕES!$K19+17-1))</f>
        <v/>
      </c>
      <c r="T19" s="57">
        <f>IF(OR(CARTÕES!$K19=0,CARTÕES!$F19=""),0,IF(18&gt;CARTÕES!$F19,0,CARTÕES!$K19+18-1))</f>
        <v/>
      </c>
      <c r="U19" s="57">
        <f>IF(OR(CARTÕES!$K19=0,CARTÕES!$F19=""),0,IF(19&gt;CARTÕES!$F19,0,CARTÕES!$K19+19-1))</f>
        <v/>
      </c>
      <c r="V19" s="57">
        <f>IF(OR(CARTÕES!$K19=0,CARTÕES!$F19=""),0,IF(20&gt;CARTÕES!$F19,0,CARTÕES!$K19+20-1))</f>
        <v/>
      </c>
      <c r="W19" s="57">
        <f>IF(OR(CARTÕES!$K19=0,CARTÕES!$F19=""),0,IF(21&gt;CARTÕES!$F19,0,CARTÕES!$K19+21-1))</f>
        <v/>
      </c>
      <c r="X19" s="57">
        <f>IF(OR(CARTÕES!$K19=0,CARTÕES!$F19=""),0,IF(22&gt;CARTÕES!$F19,0,CARTÕES!$K19+22-1))</f>
        <v/>
      </c>
      <c r="Y19" s="57">
        <f>IF(OR(CARTÕES!$K19=0,CARTÕES!$F19=""),0,IF(23&gt;CARTÕES!$F19,0,CARTÕES!$K19+23-1))</f>
        <v/>
      </c>
      <c r="Z19" s="57">
        <f>IF(OR(CARTÕES!$K19=0,CARTÕES!$F19=""),0,IF(24&gt;CARTÕES!$F19,0,CARTÕES!$K19+24-1))</f>
        <v/>
      </c>
      <c r="AA19" s="57">
        <f>IF(OR(CARTÕES!$K19=0,CARTÕES!$F19=""),0,IF(25&gt;CARTÕES!$F19,0,CARTÕES!$K19+25-1))</f>
        <v/>
      </c>
      <c r="AB19" s="57">
        <f>IF(OR(CARTÕES!$K19=0,CARTÕES!$F19=""),0,IF(26&gt;CARTÕES!$F19,0,CARTÕES!$K19+26-1))</f>
        <v/>
      </c>
      <c r="AC19" s="57">
        <f>IF(OR(CARTÕES!$K19=0,CARTÕES!$F19=""),0,IF(27&gt;CARTÕES!$F19,0,CARTÕES!$K19+27-1))</f>
        <v/>
      </c>
      <c r="AD19" s="57">
        <f>IF(OR(CARTÕES!$K19=0,CARTÕES!$F19=""),0,IF(28&gt;CARTÕES!$F19,0,CARTÕES!$K19+28-1))</f>
        <v/>
      </c>
      <c r="AE19" s="57">
        <f>IF(OR(CARTÕES!$K19=0,CARTÕES!$F19=""),0,IF(29&gt;CARTÕES!$F19,0,CARTÕES!$K19+29-1))</f>
        <v/>
      </c>
      <c r="AF19" s="57">
        <f>IF(OR(CARTÕES!$K19=0,CARTÕES!$F19=""),0,IF(30&gt;CARTÕES!$F19,0,CARTÕES!$K19+30-1))</f>
        <v/>
      </c>
      <c r="AG19" s="57">
        <f>IF(OR(CARTÕES!$K19=0,CARTÕES!$F19=""),0,IF(31&gt;CARTÕES!$F19,0,CARTÕES!$K19+31-1))</f>
        <v/>
      </c>
      <c r="AH19" s="57">
        <f>IF(OR(CARTÕES!$K19=0,CARTÕES!$F19=""),0,IF(32&gt;CARTÕES!$F19,0,CARTÕES!$K19+32-1))</f>
        <v/>
      </c>
      <c r="AI19" s="57">
        <f>IF(OR(CARTÕES!$K19=0,CARTÕES!$F19=""),0,IF(33&gt;CARTÕES!$F19,0,CARTÕES!$K19+33-1))</f>
        <v/>
      </c>
      <c r="AJ19" s="57">
        <f>IF(OR(CARTÕES!$K19=0,CARTÕES!$F19=""),0,IF(34&gt;CARTÕES!$F19,0,CARTÕES!$K19+34-1))</f>
        <v/>
      </c>
      <c r="AK19" s="57">
        <f>IF(OR(CARTÕES!$K19=0,CARTÕES!$F19=""),0,IF(35&gt;CARTÕES!$F19,0,CARTÕES!$K19+35-1))</f>
        <v/>
      </c>
      <c r="AL19" s="57">
        <f>IF(OR(CARTÕES!$K19=0,CARTÕES!$F19=""),0,IF(36&gt;CARTÕES!$F19,0,CARTÕES!$K19+36-1))</f>
        <v/>
      </c>
      <c r="AM19" s="57">
        <f>IF(C19=0,0,IF(1=CARTÕES!$F19,CARTÕES!$E19-(CARTÕES!$F19-1)*ROUND(CARTÕES!$E19/CARTÕES!$F19,0),ROUND(CARTÕES!$E19/CARTÕES!$F19,0)))</f>
        <v/>
      </c>
      <c r="AN19" s="57">
        <f>IF(D19=0,0,IF(2=CARTÕES!$F19,CARTÕES!$E19-(CARTÕES!$F19-1)*ROUND(CARTÕES!$E19/CARTÕES!$F19,0),ROUND(CARTÕES!$E19/CARTÕES!$F19,0)))</f>
        <v/>
      </c>
      <c r="AO19" s="57">
        <f>IF(E19=0,0,IF(3=CARTÕES!$F19,CARTÕES!$E19-(CARTÕES!$F19-1)*ROUND(CARTÕES!$E19/CARTÕES!$F19,0),ROUND(CARTÕES!$E19/CARTÕES!$F19,0)))</f>
        <v/>
      </c>
      <c r="AP19" s="57">
        <f>IF(F19=0,0,IF(4=CARTÕES!$F19,CARTÕES!$E19-(CARTÕES!$F19-1)*ROUND(CARTÕES!$E19/CARTÕES!$F19,0),ROUND(CARTÕES!$E19/CARTÕES!$F19,0)))</f>
        <v/>
      </c>
      <c r="AQ19" s="57">
        <f>IF(G19=0,0,IF(5=CARTÕES!$F19,CARTÕES!$E19-(CARTÕES!$F19-1)*ROUND(CARTÕES!$E19/CARTÕES!$F19,0),ROUND(CARTÕES!$E19/CARTÕES!$F19,0)))</f>
        <v/>
      </c>
      <c r="AR19" s="57">
        <f>IF(H19=0,0,IF(6=CARTÕES!$F19,CARTÕES!$E19-(CARTÕES!$F19-1)*ROUND(CARTÕES!$E19/CARTÕES!$F19,0),ROUND(CARTÕES!$E19/CARTÕES!$F19,0)))</f>
        <v/>
      </c>
      <c r="AS19" s="57">
        <f>IF(I19=0,0,IF(7=CARTÕES!$F19,CARTÕES!$E19-(CARTÕES!$F19-1)*ROUND(CARTÕES!$E19/CARTÕES!$F19,0),ROUND(CARTÕES!$E19/CARTÕES!$F19,0)))</f>
        <v/>
      </c>
      <c r="AT19" s="57">
        <f>IF(J19=0,0,IF(8=CARTÕES!$F19,CARTÕES!$E19-(CARTÕES!$F19-1)*ROUND(CARTÕES!$E19/CARTÕES!$F19,0),ROUND(CARTÕES!$E19/CARTÕES!$F19,0)))</f>
        <v/>
      </c>
      <c r="AU19" s="57">
        <f>IF(K19=0,0,IF(9=CARTÕES!$F19,CARTÕES!$E19-(CARTÕES!$F19-1)*ROUND(CARTÕES!$E19/CARTÕES!$F19,0),ROUND(CARTÕES!$E19/CARTÕES!$F19,0)))</f>
        <v/>
      </c>
      <c r="AV19" s="57">
        <f>IF(L19=0,0,IF(10=CARTÕES!$F19,CARTÕES!$E19-(CARTÕES!$F19-1)*ROUND(CARTÕES!$E19/CARTÕES!$F19,0),ROUND(CARTÕES!$E19/CARTÕES!$F19,0)))</f>
        <v/>
      </c>
      <c r="AW19" s="57">
        <f>IF(M19=0,0,IF(11=CARTÕES!$F19,CARTÕES!$E19-(CARTÕES!$F19-1)*ROUND(CARTÕES!$E19/CARTÕES!$F19,0),ROUND(CARTÕES!$E19/CARTÕES!$F19,0)))</f>
        <v/>
      </c>
      <c r="AX19" s="57">
        <f>IF(N19=0,0,IF(12=CARTÕES!$F19,CARTÕES!$E19-(CARTÕES!$F19-1)*ROUND(CARTÕES!$E19/CARTÕES!$F19,0),ROUND(CARTÕES!$E19/CARTÕES!$F19,0)))</f>
        <v/>
      </c>
      <c r="AY19" s="57">
        <f>IF(O19=0,0,IF(13=CARTÕES!$F19,CARTÕES!$E19-(CARTÕES!$F19-1)*ROUND(CARTÕES!$E19/CARTÕES!$F19,0),ROUND(CARTÕES!$E19/CARTÕES!$F19,0)))</f>
        <v/>
      </c>
      <c r="AZ19" s="57">
        <f>IF(P19=0,0,IF(14=CARTÕES!$F19,CARTÕES!$E19-(CARTÕES!$F19-1)*ROUND(CARTÕES!$E19/CARTÕES!$F19,0),ROUND(CARTÕES!$E19/CARTÕES!$F19,0)))</f>
        <v/>
      </c>
      <c r="BA19" s="57">
        <f>IF(Q19=0,0,IF(15=CARTÕES!$F19,CARTÕES!$E19-(CARTÕES!$F19-1)*ROUND(CARTÕES!$E19/CARTÕES!$F19,0),ROUND(CARTÕES!$E19/CARTÕES!$F19,0)))</f>
        <v/>
      </c>
      <c r="BB19" s="57">
        <f>IF(R19=0,0,IF(16=CARTÕES!$F19,CARTÕES!$E19-(CARTÕES!$F19-1)*ROUND(CARTÕES!$E19/CARTÕES!$F19,0),ROUND(CARTÕES!$E19/CARTÕES!$F19,0)))</f>
        <v/>
      </c>
      <c r="BC19" s="57">
        <f>IF(S19=0,0,IF(17=CARTÕES!$F19,CARTÕES!$E19-(CARTÕES!$F19-1)*ROUND(CARTÕES!$E19/CARTÕES!$F19,0),ROUND(CARTÕES!$E19/CARTÕES!$F19,0)))</f>
        <v/>
      </c>
      <c r="BD19" s="57">
        <f>IF(T19=0,0,IF(18=CARTÕES!$F19,CARTÕES!$E19-(CARTÕES!$F19-1)*ROUND(CARTÕES!$E19/CARTÕES!$F19,0),ROUND(CARTÕES!$E19/CARTÕES!$F19,0)))</f>
        <v/>
      </c>
      <c r="BE19" s="57">
        <f>IF(U19=0,0,IF(19=CARTÕES!$F19,CARTÕES!$E19-(CARTÕES!$F19-1)*ROUND(CARTÕES!$E19/CARTÕES!$F19,0),ROUND(CARTÕES!$E19/CARTÕES!$F19,0)))</f>
        <v/>
      </c>
      <c r="BF19" s="57">
        <f>IF(V19=0,0,IF(20=CARTÕES!$F19,CARTÕES!$E19-(CARTÕES!$F19-1)*ROUND(CARTÕES!$E19/CARTÕES!$F19,0),ROUND(CARTÕES!$E19/CARTÕES!$F19,0)))</f>
        <v/>
      </c>
      <c r="BG19" s="57">
        <f>IF(W19=0,0,IF(21=CARTÕES!$F19,CARTÕES!$E19-(CARTÕES!$F19-1)*ROUND(CARTÕES!$E19/CARTÕES!$F19,0),ROUND(CARTÕES!$E19/CARTÕES!$F19,0)))</f>
        <v/>
      </c>
      <c r="BH19" s="57">
        <f>IF(X19=0,0,IF(22=CARTÕES!$F19,CARTÕES!$E19-(CARTÕES!$F19-1)*ROUND(CARTÕES!$E19/CARTÕES!$F19,0),ROUND(CARTÕES!$E19/CARTÕES!$F19,0)))</f>
        <v/>
      </c>
      <c r="BI19" s="57">
        <f>IF(Y19=0,0,IF(23=CARTÕES!$F19,CARTÕES!$E19-(CARTÕES!$F19-1)*ROUND(CARTÕES!$E19/CARTÕES!$F19,0),ROUND(CARTÕES!$E19/CARTÕES!$F19,0)))</f>
        <v/>
      </c>
      <c r="BJ19" s="57">
        <f>IF(Z19=0,0,IF(24=CARTÕES!$F19,CARTÕES!$E19-(CARTÕES!$F19-1)*ROUND(CARTÕES!$E19/CARTÕES!$F19,0),ROUND(CARTÕES!$E19/CARTÕES!$F19,0)))</f>
        <v/>
      </c>
      <c r="BK19" s="57">
        <f>IF(AA19=0,0,IF(25=CARTÕES!$F19,CARTÕES!$E19-(CARTÕES!$F19-1)*ROUND(CARTÕES!$E19/CARTÕES!$F19,0),ROUND(CARTÕES!$E19/CARTÕES!$F19,0)))</f>
        <v/>
      </c>
      <c r="BL19" s="57">
        <f>IF(AB19=0,0,IF(26=CARTÕES!$F19,CARTÕES!$E19-(CARTÕES!$F19-1)*ROUND(CARTÕES!$E19/CARTÕES!$F19,0),ROUND(CARTÕES!$E19/CARTÕES!$F19,0)))</f>
        <v/>
      </c>
      <c r="BM19" s="57">
        <f>IF(AC19=0,0,IF(27=CARTÕES!$F19,CARTÕES!$E19-(CARTÕES!$F19-1)*ROUND(CARTÕES!$E19/CARTÕES!$F19,0),ROUND(CARTÕES!$E19/CARTÕES!$F19,0)))</f>
        <v/>
      </c>
      <c r="BN19" s="57">
        <f>IF(AD19=0,0,IF(28=CARTÕES!$F19,CARTÕES!$E19-(CARTÕES!$F19-1)*ROUND(CARTÕES!$E19/CARTÕES!$F19,0),ROUND(CARTÕES!$E19/CARTÕES!$F19,0)))</f>
        <v/>
      </c>
      <c r="BO19" s="57">
        <f>IF(AE19=0,0,IF(29=CARTÕES!$F19,CARTÕES!$E19-(CARTÕES!$F19-1)*ROUND(CARTÕES!$E19/CARTÕES!$F19,0),ROUND(CARTÕES!$E19/CARTÕES!$F19,0)))</f>
        <v/>
      </c>
      <c r="BP19" s="57">
        <f>IF(AF19=0,0,IF(30=CARTÕES!$F19,CARTÕES!$E19-(CARTÕES!$F19-1)*ROUND(CARTÕES!$E19/CARTÕES!$F19,0),ROUND(CARTÕES!$E19/CARTÕES!$F19,0)))</f>
        <v/>
      </c>
      <c r="BQ19" s="57">
        <f>IF(AG19=0,0,IF(31=CARTÕES!$F19,CARTÕES!$E19-(CARTÕES!$F19-1)*ROUND(CARTÕES!$E19/CARTÕES!$F19,0),ROUND(CARTÕES!$E19/CARTÕES!$F19,0)))</f>
        <v/>
      </c>
      <c r="BR19" s="57">
        <f>IF(AH19=0,0,IF(32=CARTÕES!$F19,CARTÕES!$E19-(CARTÕES!$F19-1)*ROUND(CARTÕES!$E19/CARTÕES!$F19,0),ROUND(CARTÕES!$E19/CARTÕES!$F19,0)))</f>
        <v/>
      </c>
      <c r="BS19" s="57">
        <f>IF(AI19=0,0,IF(33=CARTÕES!$F19,CARTÕES!$E19-(CARTÕES!$F19-1)*ROUND(CARTÕES!$E19/CARTÕES!$F19,0),ROUND(CARTÕES!$E19/CARTÕES!$F19,0)))</f>
        <v/>
      </c>
      <c r="BT19" s="57">
        <f>IF(AJ19=0,0,IF(34=CARTÕES!$F19,CARTÕES!$E19-(CARTÕES!$F19-1)*ROUND(CARTÕES!$E19/CARTÕES!$F19,0),ROUND(CARTÕES!$E19/CARTÕES!$F19,0)))</f>
        <v/>
      </c>
      <c r="BU19" s="57">
        <f>IF(AK19=0,0,IF(35=CARTÕES!$F19,CARTÕES!$E19-(CARTÕES!$F19-1)*ROUND(CARTÕES!$E19/CARTÕES!$F19,0),ROUND(CARTÕES!$E19/CARTÕES!$F19,0)))</f>
        <v/>
      </c>
      <c r="BV19" s="57">
        <f>IF(AL19=0,0,IF(36=CARTÕES!$F19,CARTÕES!$E19-(CARTÕES!$F19-1)*ROUND(CARTÕES!$E19/CARTÕES!$F19,0),ROUND(CARTÕES!$E19/CARTÕES!$F19,0)))</f>
        <v/>
      </c>
    </row>
    <row r="20">
      <c r="A20" s="55">
        <f>IF(CARTÕES!$C20="","",CARTÕES!$C20)</f>
        <v/>
      </c>
      <c r="B20" s="56">
        <f>SUMPRODUCT((C20:AL20='RESUMO MENSAL'!$C$4)*AM20:BV20)</f>
        <v/>
      </c>
      <c r="C20" s="57">
        <f>IF(OR(CARTÕES!$K20=0,CARTÕES!$F20=""),0,IF(1&gt;CARTÕES!$F20,0,CARTÕES!$K20+1-1))</f>
        <v/>
      </c>
      <c r="D20" s="57">
        <f>IF(OR(CARTÕES!$K20=0,CARTÕES!$F20=""),0,IF(2&gt;CARTÕES!$F20,0,CARTÕES!$K20+2-1))</f>
        <v/>
      </c>
      <c r="E20" s="57">
        <f>IF(OR(CARTÕES!$K20=0,CARTÕES!$F20=""),0,IF(3&gt;CARTÕES!$F20,0,CARTÕES!$K20+3-1))</f>
        <v/>
      </c>
      <c r="F20" s="57">
        <f>IF(OR(CARTÕES!$K20=0,CARTÕES!$F20=""),0,IF(4&gt;CARTÕES!$F20,0,CARTÕES!$K20+4-1))</f>
        <v/>
      </c>
      <c r="G20" s="57">
        <f>IF(OR(CARTÕES!$K20=0,CARTÕES!$F20=""),0,IF(5&gt;CARTÕES!$F20,0,CARTÕES!$K20+5-1))</f>
        <v/>
      </c>
      <c r="H20" s="57">
        <f>IF(OR(CARTÕES!$K20=0,CARTÕES!$F20=""),0,IF(6&gt;CARTÕES!$F20,0,CARTÕES!$K20+6-1))</f>
        <v/>
      </c>
      <c r="I20" s="57">
        <f>IF(OR(CARTÕES!$K20=0,CARTÕES!$F20=""),0,IF(7&gt;CARTÕES!$F20,0,CARTÕES!$K20+7-1))</f>
        <v/>
      </c>
      <c r="J20" s="57">
        <f>IF(OR(CARTÕES!$K20=0,CARTÕES!$F20=""),0,IF(8&gt;CARTÕES!$F20,0,CARTÕES!$K20+8-1))</f>
        <v/>
      </c>
      <c r="K20" s="57">
        <f>IF(OR(CARTÕES!$K20=0,CARTÕES!$F20=""),0,IF(9&gt;CARTÕES!$F20,0,CARTÕES!$K20+9-1))</f>
        <v/>
      </c>
      <c r="L20" s="57">
        <f>IF(OR(CARTÕES!$K20=0,CARTÕES!$F20=""),0,IF(10&gt;CARTÕES!$F20,0,CARTÕES!$K20+10-1))</f>
        <v/>
      </c>
      <c r="M20" s="57">
        <f>IF(OR(CARTÕES!$K20=0,CARTÕES!$F20=""),0,IF(11&gt;CARTÕES!$F20,0,CARTÕES!$K20+11-1))</f>
        <v/>
      </c>
      <c r="N20" s="57">
        <f>IF(OR(CARTÕES!$K20=0,CARTÕES!$F20=""),0,IF(12&gt;CARTÕES!$F20,0,CARTÕES!$K20+12-1))</f>
        <v/>
      </c>
      <c r="O20" s="57">
        <f>IF(OR(CARTÕES!$K20=0,CARTÕES!$F20=""),0,IF(13&gt;CARTÕES!$F20,0,CARTÕES!$K20+13-1))</f>
        <v/>
      </c>
      <c r="P20" s="57">
        <f>IF(OR(CARTÕES!$K20=0,CARTÕES!$F20=""),0,IF(14&gt;CARTÕES!$F20,0,CARTÕES!$K20+14-1))</f>
        <v/>
      </c>
      <c r="Q20" s="57">
        <f>IF(OR(CARTÕES!$K20=0,CARTÕES!$F20=""),0,IF(15&gt;CARTÕES!$F20,0,CARTÕES!$K20+15-1))</f>
        <v/>
      </c>
      <c r="R20" s="57">
        <f>IF(OR(CARTÕES!$K20=0,CARTÕES!$F20=""),0,IF(16&gt;CARTÕES!$F20,0,CARTÕES!$K20+16-1))</f>
        <v/>
      </c>
      <c r="S20" s="57">
        <f>IF(OR(CARTÕES!$K20=0,CARTÕES!$F20=""),0,IF(17&gt;CARTÕES!$F20,0,CARTÕES!$K20+17-1))</f>
        <v/>
      </c>
      <c r="T20" s="57">
        <f>IF(OR(CARTÕES!$K20=0,CARTÕES!$F20=""),0,IF(18&gt;CARTÕES!$F20,0,CARTÕES!$K20+18-1))</f>
        <v/>
      </c>
      <c r="U20" s="57">
        <f>IF(OR(CARTÕES!$K20=0,CARTÕES!$F20=""),0,IF(19&gt;CARTÕES!$F20,0,CARTÕES!$K20+19-1))</f>
        <v/>
      </c>
      <c r="V20" s="57">
        <f>IF(OR(CARTÕES!$K20=0,CARTÕES!$F20=""),0,IF(20&gt;CARTÕES!$F20,0,CARTÕES!$K20+20-1))</f>
        <v/>
      </c>
      <c r="W20" s="57">
        <f>IF(OR(CARTÕES!$K20=0,CARTÕES!$F20=""),0,IF(21&gt;CARTÕES!$F20,0,CARTÕES!$K20+21-1))</f>
        <v/>
      </c>
      <c r="X20" s="57">
        <f>IF(OR(CARTÕES!$K20=0,CARTÕES!$F20=""),0,IF(22&gt;CARTÕES!$F20,0,CARTÕES!$K20+22-1))</f>
        <v/>
      </c>
      <c r="Y20" s="57">
        <f>IF(OR(CARTÕES!$K20=0,CARTÕES!$F20=""),0,IF(23&gt;CARTÕES!$F20,0,CARTÕES!$K20+23-1))</f>
        <v/>
      </c>
      <c r="Z20" s="57">
        <f>IF(OR(CARTÕES!$K20=0,CARTÕES!$F20=""),0,IF(24&gt;CARTÕES!$F20,0,CARTÕES!$K20+24-1))</f>
        <v/>
      </c>
      <c r="AA20" s="57">
        <f>IF(OR(CARTÕES!$K20=0,CARTÕES!$F20=""),0,IF(25&gt;CARTÕES!$F20,0,CARTÕES!$K20+25-1))</f>
        <v/>
      </c>
      <c r="AB20" s="57">
        <f>IF(OR(CARTÕES!$K20=0,CARTÕES!$F20=""),0,IF(26&gt;CARTÕES!$F20,0,CARTÕES!$K20+26-1))</f>
        <v/>
      </c>
      <c r="AC20" s="57">
        <f>IF(OR(CARTÕES!$K20=0,CARTÕES!$F20=""),0,IF(27&gt;CARTÕES!$F20,0,CARTÕES!$K20+27-1))</f>
        <v/>
      </c>
      <c r="AD20" s="57">
        <f>IF(OR(CARTÕES!$K20=0,CARTÕES!$F20=""),0,IF(28&gt;CARTÕES!$F20,0,CARTÕES!$K20+28-1))</f>
        <v/>
      </c>
      <c r="AE20" s="57">
        <f>IF(OR(CARTÕES!$K20=0,CARTÕES!$F20=""),0,IF(29&gt;CARTÕES!$F20,0,CARTÕES!$K20+29-1))</f>
        <v/>
      </c>
      <c r="AF20" s="57">
        <f>IF(OR(CARTÕES!$K20=0,CARTÕES!$F20=""),0,IF(30&gt;CARTÕES!$F20,0,CARTÕES!$K20+30-1))</f>
        <v/>
      </c>
      <c r="AG20" s="57">
        <f>IF(OR(CARTÕES!$K20=0,CARTÕES!$F20=""),0,IF(31&gt;CARTÕES!$F20,0,CARTÕES!$K20+31-1))</f>
        <v/>
      </c>
      <c r="AH20" s="57">
        <f>IF(OR(CARTÕES!$K20=0,CARTÕES!$F20=""),0,IF(32&gt;CARTÕES!$F20,0,CARTÕES!$K20+32-1))</f>
        <v/>
      </c>
      <c r="AI20" s="57">
        <f>IF(OR(CARTÕES!$K20=0,CARTÕES!$F20=""),0,IF(33&gt;CARTÕES!$F20,0,CARTÕES!$K20+33-1))</f>
        <v/>
      </c>
      <c r="AJ20" s="57">
        <f>IF(OR(CARTÕES!$K20=0,CARTÕES!$F20=""),0,IF(34&gt;CARTÕES!$F20,0,CARTÕES!$K20+34-1))</f>
        <v/>
      </c>
      <c r="AK20" s="57">
        <f>IF(OR(CARTÕES!$K20=0,CARTÕES!$F20=""),0,IF(35&gt;CARTÕES!$F20,0,CARTÕES!$K20+35-1))</f>
        <v/>
      </c>
      <c r="AL20" s="57">
        <f>IF(OR(CARTÕES!$K20=0,CARTÕES!$F20=""),0,IF(36&gt;CARTÕES!$F20,0,CARTÕES!$K20+36-1))</f>
        <v/>
      </c>
      <c r="AM20" s="57">
        <f>IF(C20=0,0,IF(1=CARTÕES!$F20,CARTÕES!$E20-(CARTÕES!$F20-1)*ROUND(CARTÕES!$E20/CARTÕES!$F20,0),ROUND(CARTÕES!$E20/CARTÕES!$F20,0)))</f>
        <v/>
      </c>
      <c r="AN20" s="57">
        <f>IF(D20=0,0,IF(2=CARTÕES!$F20,CARTÕES!$E20-(CARTÕES!$F20-1)*ROUND(CARTÕES!$E20/CARTÕES!$F20,0),ROUND(CARTÕES!$E20/CARTÕES!$F20,0)))</f>
        <v/>
      </c>
      <c r="AO20" s="57">
        <f>IF(E20=0,0,IF(3=CARTÕES!$F20,CARTÕES!$E20-(CARTÕES!$F20-1)*ROUND(CARTÕES!$E20/CARTÕES!$F20,0),ROUND(CARTÕES!$E20/CARTÕES!$F20,0)))</f>
        <v/>
      </c>
      <c r="AP20" s="57">
        <f>IF(F20=0,0,IF(4=CARTÕES!$F20,CARTÕES!$E20-(CARTÕES!$F20-1)*ROUND(CARTÕES!$E20/CARTÕES!$F20,0),ROUND(CARTÕES!$E20/CARTÕES!$F20,0)))</f>
        <v/>
      </c>
      <c r="AQ20" s="57">
        <f>IF(G20=0,0,IF(5=CARTÕES!$F20,CARTÕES!$E20-(CARTÕES!$F20-1)*ROUND(CARTÕES!$E20/CARTÕES!$F20,0),ROUND(CARTÕES!$E20/CARTÕES!$F20,0)))</f>
        <v/>
      </c>
      <c r="AR20" s="57">
        <f>IF(H20=0,0,IF(6=CARTÕES!$F20,CARTÕES!$E20-(CARTÕES!$F20-1)*ROUND(CARTÕES!$E20/CARTÕES!$F20,0),ROUND(CARTÕES!$E20/CARTÕES!$F20,0)))</f>
        <v/>
      </c>
      <c r="AS20" s="57">
        <f>IF(I20=0,0,IF(7=CARTÕES!$F20,CARTÕES!$E20-(CARTÕES!$F20-1)*ROUND(CARTÕES!$E20/CARTÕES!$F20,0),ROUND(CARTÕES!$E20/CARTÕES!$F20,0)))</f>
        <v/>
      </c>
      <c r="AT20" s="57">
        <f>IF(J20=0,0,IF(8=CARTÕES!$F20,CARTÕES!$E20-(CARTÕES!$F20-1)*ROUND(CARTÕES!$E20/CARTÕES!$F20,0),ROUND(CARTÕES!$E20/CARTÕES!$F20,0)))</f>
        <v/>
      </c>
      <c r="AU20" s="57">
        <f>IF(K20=0,0,IF(9=CARTÕES!$F20,CARTÕES!$E20-(CARTÕES!$F20-1)*ROUND(CARTÕES!$E20/CARTÕES!$F20,0),ROUND(CARTÕES!$E20/CARTÕES!$F20,0)))</f>
        <v/>
      </c>
      <c r="AV20" s="57">
        <f>IF(L20=0,0,IF(10=CARTÕES!$F20,CARTÕES!$E20-(CARTÕES!$F20-1)*ROUND(CARTÕES!$E20/CARTÕES!$F20,0),ROUND(CARTÕES!$E20/CARTÕES!$F20,0)))</f>
        <v/>
      </c>
      <c r="AW20" s="57">
        <f>IF(M20=0,0,IF(11=CARTÕES!$F20,CARTÕES!$E20-(CARTÕES!$F20-1)*ROUND(CARTÕES!$E20/CARTÕES!$F20,0),ROUND(CARTÕES!$E20/CARTÕES!$F20,0)))</f>
        <v/>
      </c>
      <c r="AX20" s="57">
        <f>IF(N20=0,0,IF(12=CARTÕES!$F20,CARTÕES!$E20-(CARTÕES!$F20-1)*ROUND(CARTÕES!$E20/CARTÕES!$F20,0),ROUND(CARTÕES!$E20/CARTÕES!$F20,0)))</f>
        <v/>
      </c>
      <c r="AY20" s="57">
        <f>IF(O20=0,0,IF(13=CARTÕES!$F20,CARTÕES!$E20-(CARTÕES!$F20-1)*ROUND(CARTÕES!$E20/CARTÕES!$F20,0),ROUND(CARTÕES!$E20/CARTÕES!$F20,0)))</f>
        <v/>
      </c>
      <c r="AZ20" s="57">
        <f>IF(P20=0,0,IF(14=CARTÕES!$F20,CARTÕES!$E20-(CARTÕES!$F20-1)*ROUND(CARTÕES!$E20/CARTÕES!$F20,0),ROUND(CARTÕES!$E20/CARTÕES!$F20,0)))</f>
        <v/>
      </c>
      <c r="BA20" s="57">
        <f>IF(Q20=0,0,IF(15=CARTÕES!$F20,CARTÕES!$E20-(CARTÕES!$F20-1)*ROUND(CARTÕES!$E20/CARTÕES!$F20,0),ROUND(CARTÕES!$E20/CARTÕES!$F20,0)))</f>
        <v/>
      </c>
      <c r="BB20" s="57">
        <f>IF(R20=0,0,IF(16=CARTÕES!$F20,CARTÕES!$E20-(CARTÕES!$F20-1)*ROUND(CARTÕES!$E20/CARTÕES!$F20,0),ROUND(CARTÕES!$E20/CARTÕES!$F20,0)))</f>
        <v/>
      </c>
      <c r="BC20" s="57">
        <f>IF(S20=0,0,IF(17=CARTÕES!$F20,CARTÕES!$E20-(CARTÕES!$F20-1)*ROUND(CARTÕES!$E20/CARTÕES!$F20,0),ROUND(CARTÕES!$E20/CARTÕES!$F20,0)))</f>
        <v/>
      </c>
      <c r="BD20" s="57">
        <f>IF(T20=0,0,IF(18=CARTÕES!$F20,CARTÕES!$E20-(CARTÕES!$F20-1)*ROUND(CARTÕES!$E20/CARTÕES!$F20,0),ROUND(CARTÕES!$E20/CARTÕES!$F20,0)))</f>
        <v/>
      </c>
      <c r="BE20" s="57">
        <f>IF(U20=0,0,IF(19=CARTÕES!$F20,CARTÕES!$E20-(CARTÕES!$F20-1)*ROUND(CARTÕES!$E20/CARTÕES!$F20,0),ROUND(CARTÕES!$E20/CARTÕES!$F20,0)))</f>
        <v/>
      </c>
      <c r="BF20" s="57">
        <f>IF(V20=0,0,IF(20=CARTÕES!$F20,CARTÕES!$E20-(CARTÕES!$F20-1)*ROUND(CARTÕES!$E20/CARTÕES!$F20,0),ROUND(CARTÕES!$E20/CARTÕES!$F20,0)))</f>
        <v/>
      </c>
      <c r="BG20" s="57">
        <f>IF(W20=0,0,IF(21=CARTÕES!$F20,CARTÕES!$E20-(CARTÕES!$F20-1)*ROUND(CARTÕES!$E20/CARTÕES!$F20,0),ROUND(CARTÕES!$E20/CARTÕES!$F20,0)))</f>
        <v/>
      </c>
      <c r="BH20" s="57">
        <f>IF(X20=0,0,IF(22=CARTÕES!$F20,CARTÕES!$E20-(CARTÕES!$F20-1)*ROUND(CARTÕES!$E20/CARTÕES!$F20,0),ROUND(CARTÕES!$E20/CARTÕES!$F20,0)))</f>
        <v/>
      </c>
      <c r="BI20" s="57">
        <f>IF(Y20=0,0,IF(23=CARTÕES!$F20,CARTÕES!$E20-(CARTÕES!$F20-1)*ROUND(CARTÕES!$E20/CARTÕES!$F20,0),ROUND(CARTÕES!$E20/CARTÕES!$F20,0)))</f>
        <v/>
      </c>
      <c r="BJ20" s="57">
        <f>IF(Z20=0,0,IF(24=CARTÕES!$F20,CARTÕES!$E20-(CARTÕES!$F20-1)*ROUND(CARTÕES!$E20/CARTÕES!$F20,0),ROUND(CARTÕES!$E20/CARTÕES!$F20,0)))</f>
        <v/>
      </c>
      <c r="BK20" s="57">
        <f>IF(AA20=0,0,IF(25=CARTÕES!$F20,CARTÕES!$E20-(CARTÕES!$F20-1)*ROUND(CARTÕES!$E20/CARTÕES!$F20,0),ROUND(CARTÕES!$E20/CARTÕES!$F20,0)))</f>
        <v/>
      </c>
      <c r="BL20" s="57">
        <f>IF(AB20=0,0,IF(26=CARTÕES!$F20,CARTÕES!$E20-(CARTÕES!$F20-1)*ROUND(CARTÕES!$E20/CARTÕES!$F20,0),ROUND(CARTÕES!$E20/CARTÕES!$F20,0)))</f>
        <v/>
      </c>
      <c r="BM20" s="57">
        <f>IF(AC20=0,0,IF(27=CARTÕES!$F20,CARTÕES!$E20-(CARTÕES!$F20-1)*ROUND(CARTÕES!$E20/CARTÕES!$F20,0),ROUND(CARTÕES!$E20/CARTÕES!$F20,0)))</f>
        <v/>
      </c>
      <c r="BN20" s="57">
        <f>IF(AD20=0,0,IF(28=CARTÕES!$F20,CARTÕES!$E20-(CARTÕES!$F20-1)*ROUND(CARTÕES!$E20/CARTÕES!$F20,0),ROUND(CARTÕES!$E20/CARTÕES!$F20,0)))</f>
        <v/>
      </c>
      <c r="BO20" s="57">
        <f>IF(AE20=0,0,IF(29=CARTÕES!$F20,CARTÕES!$E20-(CARTÕES!$F20-1)*ROUND(CARTÕES!$E20/CARTÕES!$F20,0),ROUND(CARTÕES!$E20/CARTÕES!$F20,0)))</f>
        <v/>
      </c>
      <c r="BP20" s="57">
        <f>IF(AF20=0,0,IF(30=CARTÕES!$F20,CARTÕES!$E20-(CARTÕES!$F20-1)*ROUND(CARTÕES!$E20/CARTÕES!$F20,0),ROUND(CARTÕES!$E20/CARTÕES!$F20,0)))</f>
        <v/>
      </c>
      <c r="BQ20" s="57">
        <f>IF(AG20=0,0,IF(31=CARTÕES!$F20,CARTÕES!$E20-(CARTÕES!$F20-1)*ROUND(CARTÕES!$E20/CARTÕES!$F20,0),ROUND(CARTÕES!$E20/CARTÕES!$F20,0)))</f>
        <v/>
      </c>
      <c r="BR20" s="57">
        <f>IF(AH20=0,0,IF(32=CARTÕES!$F20,CARTÕES!$E20-(CARTÕES!$F20-1)*ROUND(CARTÕES!$E20/CARTÕES!$F20,0),ROUND(CARTÕES!$E20/CARTÕES!$F20,0)))</f>
        <v/>
      </c>
      <c r="BS20" s="57">
        <f>IF(AI20=0,0,IF(33=CARTÕES!$F20,CARTÕES!$E20-(CARTÕES!$F20-1)*ROUND(CARTÕES!$E20/CARTÕES!$F20,0),ROUND(CARTÕES!$E20/CARTÕES!$F20,0)))</f>
        <v/>
      </c>
      <c r="BT20" s="57">
        <f>IF(AJ20=0,0,IF(34=CARTÕES!$F20,CARTÕES!$E20-(CARTÕES!$F20-1)*ROUND(CARTÕES!$E20/CARTÕES!$F20,0),ROUND(CARTÕES!$E20/CARTÕES!$F20,0)))</f>
        <v/>
      </c>
      <c r="BU20" s="57">
        <f>IF(AK20=0,0,IF(35=CARTÕES!$F20,CARTÕES!$E20-(CARTÕES!$F20-1)*ROUND(CARTÕES!$E20/CARTÕES!$F20,0),ROUND(CARTÕES!$E20/CARTÕES!$F20,0)))</f>
        <v/>
      </c>
      <c r="BV20" s="57">
        <f>IF(AL20=0,0,IF(36=CARTÕES!$F20,CARTÕES!$E20-(CARTÕES!$F20-1)*ROUND(CARTÕES!$E20/CARTÕES!$F20,0),ROUND(CARTÕES!$E20/CARTÕES!$F20,0)))</f>
        <v/>
      </c>
    </row>
    <row r="21">
      <c r="A21" s="55">
        <f>IF(CARTÕES!$C21="","",CARTÕES!$C21)</f>
        <v/>
      </c>
      <c r="B21" s="56">
        <f>SUMPRODUCT((C21:AL21='RESUMO MENSAL'!$C$4)*AM21:BV21)</f>
        <v/>
      </c>
      <c r="C21" s="57">
        <f>IF(OR(CARTÕES!$K21=0,CARTÕES!$F21=""),0,IF(1&gt;CARTÕES!$F21,0,CARTÕES!$K21+1-1))</f>
        <v/>
      </c>
      <c r="D21" s="57">
        <f>IF(OR(CARTÕES!$K21=0,CARTÕES!$F21=""),0,IF(2&gt;CARTÕES!$F21,0,CARTÕES!$K21+2-1))</f>
        <v/>
      </c>
      <c r="E21" s="57">
        <f>IF(OR(CARTÕES!$K21=0,CARTÕES!$F21=""),0,IF(3&gt;CARTÕES!$F21,0,CARTÕES!$K21+3-1))</f>
        <v/>
      </c>
      <c r="F21" s="57">
        <f>IF(OR(CARTÕES!$K21=0,CARTÕES!$F21=""),0,IF(4&gt;CARTÕES!$F21,0,CARTÕES!$K21+4-1))</f>
        <v/>
      </c>
      <c r="G21" s="57">
        <f>IF(OR(CARTÕES!$K21=0,CARTÕES!$F21=""),0,IF(5&gt;CARTÕES!$F21,0,CARTÕES!$K21+5-1))</f>
        <v/>
      </c>
      <c r="H21" s="57">
        <f>IF(OR(CARTÕES!$K21=0,CARTÕES!$F21=""),0,IF(6&gt;CARTÕES!$F21,0,CARTÕES!$K21+6-1))</f>
        <v/>
      </c>
      <c r="I21" s="57">
        <f>IF(OR(CARTÕES!$K21=0,CARTÕES!$F21=""),0,IF(7&gt;CARTÕES!$F21,0,CARTÕES!$K21+7-1))</f>
        <v/>
      </c>
      <c r="J21" s="57">
        <f>IF(OR(CARTÕES!$K21=0,CARTÕES!$F21=""),0,IF(8&gt;CARTÕES!$F21,0,CARTÕES!$K21+8-1))</f>
        <v/>
      </c>
      <c r="K21" s="57">
        <f>IF(OR(CARTÕES!$K21=0,CARTÕES!$F21=""),0,IF(9&gt;CARTÕES!$F21,0,CARTÕES!$K21+9-1))</f>
        <v/>
      </c>
      <c r="L21" s="57">
        <f>IF(OR(CARTÕES!$K21=0,CARTÕES!$F21=""),0,IF(10&gt;CARTÕES!$F21,0,CARTÕES!$K21+10-1))</f>
        <v/>
      </c>
      <c r="M21" s="57">
        <f>IF(OR(CARTÕES!$K21=0,CARTÕES!$F21=""),0,IF(11&gt;CARTÕES!$F21,0,CARTÕES!$K21+11-1))</f>
        <v/>
      </c>
      <c r="N21" s="57">
        <f>IF(OR(CARTÕES!$K21=0,CARTÕES!$F21=""),0,IF(12&gt;CARTÕES!$F21,0,CARTÕES!$K21+12-1))</f>
        <v/>
      </c>
      <c r="O21" s="57">
        <f>IF(OR(CARTÕES!$K21=0,CARTÕES!$F21=""),0,IF(13&gt;CARTÕES!$F21,0,CARTÕES!$K21+13-1))</f>
        <v/>
      </c>
      <c r="P21" s="57">
        <f>IF(OR(CARTÕES!$K21=0,CARTÕES!$F21=""),0,IF(14&gt;CARTÕES!$F21,0,CARTÕES!$K21+14-1))</f>
        <v/>
      </c>
      <c r="Q21" s="57">
        <f>IF(OR(CARTÕES!$K21=0,CARTÕES!$F21=""),0,IF(15&gt;CARTÕES!$F21,0,CARTÕES!$K21+15-1))</f>
        <v/>
      </c>
      <c r="R21" s="57">
        <f>IF(OR(CARTÕES!$K21=0,CARTÕES!$F21=""),0,IF(16&gt;CARTÕES!$F21,0,CARTÕES!$K21+16-1))</f>
        <v/>
      </c>
      <c r="S21" s="57">
        <f>IF(OR(CARTÕES!$K21=0,CARTÕES!$F21=""),0,IF(17&gt;CARTÕES!$F21,0,CARTÕES!$K21+17-1))</f>
        <v/>
      </c>
      <c r="T21" s="57">
        <f>IF(OR(CARTÕES!$K21=0,CARTÕES!$F21=""),0,IF(18&gt;CARTÕES!$F21,0,CARTÕES!$K21+18-1))</f>
        <v/>
      </c>
      <c r="U21" s="57">
        <f>IF(OR(CARTÕES!$K21=0,CARTÕES!$F21=""),0,IF(19&gt;CARTÕES!$F21,0,CARTÕES!$K21+19-1))</f>
        <v/>
      </c>
      <c r="V21" s="57">
        <f>IF(OR(CARTÕES!$K21=0,CARTÕES!$F21=""),0,IF(20&gt;CARTÕES!$F21,0,CARTÕES!$K21+20-1))</f>
        <v/>
      </c>
      <c r="W21" s="57">
        <f>IF(OR(CARTÕES!$K21=0,CARTÕES!$F21=""),0,IF(21&gt;CARTÕES!$F21,0,CARTÕES!$K21+21-1))</f>
        <v/>
      </c>
      <c r="X21" s="57">
        <f>IF(OR(CARTÕES!$K21=0,CARTÕES!$F21=""),0,IF(22&gt;CARTÕES!$F21,0,CARTÕES!$K21+22-1))</f>
        <v/>
      </c>
      <c r="Y21" s="57">
        <f>IF(OR(CARTÕES!$K21=0,CARTÕES!$F21=""),0,IF(23&gt;CARTÕES!$F21,0,CARTÕES!$K21+23-1))</f>
        <v/>
      </c>
      <c r="Z21" s="57">
        <f>IF(OR(CARTÕES!$K21=0,CARTÕES!$F21=""),0,IF(24&gt;CARTÕES!$F21,0,CARTÕES!$K21+24-1))</f>
        <v/>
      </c>
      <c r="AA21" s="57">
        <f>IF(OR(CARTÕES!$K21=0,CARTÕES!$F21=""),0,IF(25&gt;CARTÕES!$F21,0,CARTÕES!$K21+25-1))</f>
        <v/>
      </c>
      <c r="AB21" s="57">
        <f>IF(OR(CARTÕES!$K21=0,CARTÕES!$F21=""),0,IF(26&gt;CARTÕES!$F21,0,CARTÕES!$K21+26-1))</f>
        <v/>
      </c>
      <c r="AC21" s="57">
        <f>IF(OR(CARTÕES!$K21=0,CARTÕES!$F21=""),0,IF(27&gt;CARTÕES!$F21,0,CARTÕES!$K21+27-1))</f>
        <v/>
      </c>
      <c r="AD21" s="57">
        <f>IF(OR(CARTÕES!$K21=0,CARTÕES!$F21=""),0,IF(28&gt;CARTÕES!$F21,0,CARTÕES!$K21+28-1))</f>
        <v/>
      </c>
      <c r="AE21" s="57">
        <f>IF(OR(CARTÕES!$K21=0,CARTÕES!$F21=""),0,IF(29&gt;CARTÕES!$F21,0,CARTÕES!$K21+29-1))</f>
        <v/>
      </c>
      <c r="AF21" s="57">
        <f>IF(OR(CARTÕES!$K21=0,CARTÕES!$F21=""),0,IF(30&gt;CARTÕES!$F21,0,CARTÕES!$K21+30-1))</f>
        <v/>
      </c>
      <c r="AG21" s="57">
        <f>IF(OR(CARTÕES!$K21=0,CARTÕES!$F21=""),0,IF(31&gt;CARTÕES!$F21,0,CARTÕES!$K21+31-1))</f>
        <v/>
      </c>
      <c r="AH21" s="57">
        <f>IF(OR(CARTÕES!$K21=0,CARTÕES!$F21=""),0,IF(32&gt;CARTÕES!$F21,0,CARTÕES!$K21+32-1))</f>
        <v/>
      </c>
      <c r="AI21" s="57">
        <f>IF(OR(CARTÕES!$K21=0,CARTÕES!$F21=""),0,IF(33&gt;CARTÕES!$F21,0,CARTÕES!$K21+33-1))</f>
        <v/>
      </c>
      <c r="AJ21" s="57">
        <f>IF(OR(CARTÕES!$K21=0,CARTÕES!$F21=""),0,IF(34&gt;CARTÕES!$F21,0,CARTÕES!$K21+34-1))</f>
        <v/>
      </c>
      <c r="AK21" s="57">
        <f>IF(OR(CARTÕES!$K21=0,CARTÕES!$F21=""),0,IF(35&gt;CARTÕES!$F21,0,CARTÕES!$K21+35-1))</f>
        <v/>
      </c>
      <c r="AL21" s="57">
        <f>IF(OR(CARTÕES!$K21=0,CARTÕES!$F21=""),0,IF(36&gt;CARTÕES!$F21,0,CARTÕES!$K21+36-1))</f>
        <v/>
      </c>
      <c r="AM21" s="57">
        <f>IF(C21=0,0,IF(1=CARTÕES!$F21,CARTÕES!$E21-(CARTÕES!$F21-1)*ROUND(CARTÕES!$E21/CARTÕES!$F21,0),ROUND(CARTÕES!$E21/CARTÕES!$F21,0)))</f>
        <v/>
      </c>
      <c r="AN21" s="57">
        <f>IF(D21=0,0,IF(2=CARTÕES!$F21,CARTÕES!$E21-(CARTÕES!$F21-1)*ROUND(CARTÕES!$E21/CARTÕES!$F21,0),ROUND(CARTÕES!$E21/CARTÕES!$F21,0)))</f>
        <v/>
      </c>
      <c r="AO21" s="57">
        <f>IF(E21=0,0,IF(3=CARTÕES!$F21,CARTÕES!$E21-(CARTÕES!$F21-1)*ROUND(CARTÕES!$E21/CARTÕES!$F21,0),ROUND(CARTÕES!$E21/CARTÕES!$F21,0)))</f>
        <v/>
      </c>
      <c r="AP21" s="57">
        <f>IF(F21=0,0,IF(4=CARTÕES!$F21,CARTÕES!$E21-(CARTÕES!$F21-1)*ROUND(CARTÕES!$E21/CARTÕES!$F21,0),ROUND(CARTÕES!$E21/CARTÕES!$F21,0)))</f>
        <v/>
      </c>
      <c r="AQ21" s="57">
        <f>IF(G21=0,0,IF(5=CARTÕES!$F21,CARTÕES!$E21-(CARTÕES!$F21-1)*ROUND(CARTÕES!$E21/CARTÕES!$F21,0),ROUND(CARTÕES!$E21/CARTÕES!$F21,0)))</f>
        <v/>
      </c>
      <c r="AR21" s="57">
        <f>IF(H21=0,0,IF(6=CARTÕES!$F21,CARTÕES!$E21-(CARTÕES!$F21-1)*ROUND(CARTÕES!$E21/CARTÕES!$F21,0),ROUND(CARTÕES!$E21/CARTÕES!$F21,0)))</f>
        <v/>
      </c>
      <c r="AS21" s="57">
        <f>IF(I21=0,0,IF(7=CARTÕES!$F21,CARTÕES!$E21-(CARTÕES!$F21-1)*ROUND(CARTÕES!$E21/CARTÕES!$F21,0),ROUND(CARTÕES!$E21/CARTÕES!$F21,0)))</f>
        <v/>
      </c>
      <c r="AT21" s="57">
        <f>IF(J21=0,0,IF(8=CARTÕES!$F21,CARTÕES!$E21-(CARTÕES!$F21-1)*ROUND(CARTÕES!$E21/CARTÕES!$F21,0),ROUND(CARTÕES!$E21/CARTÕES!$F21,0)))</f>
        <v/>
      </c>
      <c r="AU21" s="57">
        <f>IF(K21=0,0,IF(9=CARTÕES!$F21,CARTÕES!$E21-(CARTÕES!$F21-1)*ROUND(CARTÕES!$E21/CARTÕES!$F21,0),ROUND(CARTÕES!$E21/CARTÕES!$F21,0)))</f>
        <v/>
      </c>
      <c r="AV21" s="57">
        <f>IF(L21=0,0,IF(10=CARTÕES!$F21,CARTÕES!$E21-(CARTÕES!$F21-1)*ROUND(CARTÕES!$E21/CARTÕES!$F21,0),ROUND(CARTÕES!$E21/CARTÕES!$F21,0)))</f>
        <v/>
      </c>
      <c r="AW21" s="57">
        <f>IF(M21=0,0,IF(11=CARTÕES!$F21,CARTÕES!$E21-(CARTÕES!$F21-1)*ROUND(CARTÕES!$E21/CARTÕES!$F21,0),ROUND(CARTÕES!$E21/CARTÕES!$F21,0)))</f>
        <v/>
      </c>
      <c r="AX21" s="57">
        <f>IF(N21=0,0,IF(12=CARTÕES!$F21,CARTÕES!$E21-(CARTÕES!$F21-1)*ROUND(CARTÕES!$E21/CARTÕES!$F21,0),ROUND(CARTÕES!$E21/CARTÕES!$F21,0)))</f>
        <v/>
      </c>
      <c r="AY21" s="57">
        <f>IF(O21=0,0,IF(13=CARTÕES!$F21,CARTÕES!$E21-(CARTÕES!$F21-1)*ROUND(CARTÕES!$E21/CARTÕES!$F21,0),ROUND(CARTÕES!$E21/CARTÕES!$F21,0)))</f>
        <v/>
      </c>
      <c r="AZ21" s="57">
        <f>IF(P21=0,0,IF(14=CARTÕES!$F21,CARTÕES!$E21-(CARTÕES!$F21-1)*ROUND(CARTÕES!$E21/CARTÕES!$F21,0),ROUND(CARTÕES!$E21/CARTÕES!$F21,0)))</f>
        <v/>
      </c>
      <c r="BA21" s="57">
        <f>IF(Q21=0,0,IF(15=CARTÕES!$F21,CARTÕES!$E21-(CARTÕES!$F21-1)*ROUND(CARTÕES!$E21/CARTÕES!$F21,0),ROUND(CARTÕES!$E21/CARTÕES!$F21,0)))</f>
        <v/>
      </c>
      <c r="BB21" s="57">
        <f>IF(R21=0,0,IF(16=CARTÕES!$F21,CARTÕES!$E21-(CARTÕES!$F21-1)*ROUND(CARTÕES!$E21/CARTÕES!$F21,0),ROUND(CARTÕES!$E21/CARTÕES!$F21,0)))</f>
        <v/>
      </c>
      <c r="BC21" s="57">
        <f>IF(S21=0,0,IF(17=CARTÕES!$F21,CARTÕES!$E21-(CARTÕES!$F21-1)*ROUND(CARTÕES!$E21/CARTÕES!$F21,0),ROUND(CARTÕES!$E21/CARTÕES!$F21,0)))</f>
        <v/>
      </c>
      <c r="BD21" s="57">
        <f>IF(T21=0,0,IF(18=CARTÕES!$F21,CARTÕES!$E21-(CARTÕES!$F21-1)*ROUND(CARTÕES!$E21/CARTÕES!$F21,0),ROUND(CARTÕES!$E21/CARTÕES!$F21,0)))</f>
        <v/>
      </c>
      <c r="BE21" s="57">
        <f>IF(U21=0,0,IF(19=CARTÕES!$F21,CARTÕES!$E21-(CARTÕES!$F21-1)*ROUND(CARTÕES!$E21/CARTÕES!$F21,0),ROUND(CARTÕES!$E21/CARTÕES!$F21,0)))</f>
        <v/>
      </c>
      <c r="BF21" s="57">
        <f>IF(V21=0,0,IF(20=CARTÕES!$F21,CARTÕES!$E21-(CARTÕES!$F21-1)*ROUND(CARTÕES!$E21/CARTÕES!$F21,0),ROUND(CARTÕES!$E21/CARTÕES!$F21,0)))</f>
        <v/>
      </c>
      <c r="BG21" s="57">
        <f>IF(W21=0,0,IF(21=CARTÕES!$F21,CARTÕES!$E21-(CARTÕES!$F21-1)*ROUND(CARTÕES!$E21/CARTÕES!$F21,0),ROUND(CARTÕES!$E21/CARTÕES!$F21,0)))</f>
        <v/>
      </c>
      <c r="BH21" s="57">
        <f>IF(X21=0,0,IF(22=CARTÕES!$F21,CARTÕES!$E21-(CARTÕES!$F21-1)*ROUND(CARTÕES!$E21/CARTÕES!$F21,0),ROUND(CARTÕES!$E21/CARTÕES!$F21,0)))</f>
        <v/>
      </c>
      <c r="BI21" s="57">
        <f>IF(Y21=0,0,IF(23=CARTÕES!$F21,CARTÕES!$E21-(CARTÕES!$F21-1)*ROUND(CARTÕES!$E21/CARTÕES!$F21,0),ROUND(CARTÕES!$E21/CARTÕES!$F21,0)))</f>
        <v/>
      </c>
      <c r="BJ21" s="57">
        <f>IF(Z21=0,0,IF(24=CARTÕES!$F21,CARTÕES!$E21-(CARTÕES!$F21-1)*ROUND(CARTÕES!$E21/CARTÕES!$F21,0),ROUND(CARTÕES!$E21/CARTÕES!$F21,0)))</f>
        <v/>
      </c>
      <c r="BK21" s="57">
        <f>IF(AA21=0,0,IF(25=CARTÕES!$F21,CARTÕES!$E21-(CARTÕES!$F21-1)*ROUND(CARTÕES!$E21/CARTÕES!$F21,0),ROUND(CARTÕES!$E21/CARTÕES!$F21,0)))</f>
        <v/>
      </c>
      <c r="BL21" s="57">
        <f>IF(AB21=0,0,IF(26=CARTÕES!$F21,CARTÕES!$E21-(CARTÕES!$F21-1)*ROUND(CARTÕES!$E21/CARTÕES!$F21,0),ROUND(CARTÕES!$E21/CARTÕES!$F21,0)))</f>
        <v/>
      </c>
      <c r="BM21" s="57">
        <f>IF(AC21=0,0,IF(27=CARTÕES!$F21,CARTÕES!$E21-(CARTÕES!$F21-1)*ROUND(CARTÕES!$E21/CARTÕES!$F21,0),ROUND(CARTÕES!$E21/CARTÕES!$F21,0)))</f>
        <v/>
      </c>
      <c r="BN21" s="57">
        <f>IF(AD21=0,0,IF(28=CARTÕES!$F21,CARTÕES!$E21-(CARTÕES!$F21-1)*ROUND(CARTÕES!$E21/CARTÕES!$F21,0),ROUND(CARTÕES!$E21/CARTÕES!$F21,0)))</f>
        <v/>
      </c>
      <c r="BO21" s="57">
        <f>IF(AE21=0,0,IF(29=CARTÕES!$F21,CARTÕES!$E21-(CARTÕES!$F21-1)*ROUND(CARTÕES!$E21/CARTÕES!$F21,0),ROUND(CARTÕES!$E21/CARTÕES!$F21,0)))</f>
        <v/>
      </c>
      <c r="BP21" s="57">
        <f>IF(AF21=0,0,IF(30=CARTÕES!$F21,CARTÕES!$E21-(CARTÕES!$F21-1)*ROUND(CARTÕES!$E21/CARTÕES!$F21,0),ROUND(CARTÕES!$E21/CARTÕES!$F21,0)))</f>
        <v/>
      </c>
      <c r="BQ21" s="57">
        <f>IF(AG21=0,0,IF(31=CARTÕES!$F21,CARTÕES!$E21-(CARTÕES!$F21-1)*ROUND(CARTÕES!$E21/CARTÕES!$F21,0),ROUND(CARTÕES!$E21/CARTÕES!$F21,0)))</f>
        <v/>
      </c>
      <c r="BR21" s="57">
        <f>IF(AH21=0,0,IF(32=CARTÕES!$F21,CARTÕES!$E21-(CARTÕES!$F21-1)*ROUND(CARTÕES!$E21/CARTÕES!$F21,0),ROUND(CARTÕES!$E21/CARTÕES!$F21,0)))</f>
        <v/>
      </c>
      <c r="BS21" s="57">
        <f>IF(AI21=0,0,IF(33=CARTÕES!$F21,CARTÕES!$E21-(CARTÕES!$F21-1)*ROUND(CARTÕES!$E21/CARTÕES!$F21,0),ROUND(CARTÕES!$E21/CARTÕES!$F21,0)))</f>
        <v/>
      </c>
      <c r="BT21" s="57">
        <f>IF(AJ21=0,0,IF(34=CARTÕES!$F21,CARTÕES!$E21-(CARTÕES!$F21-1)*ROUND(CARTÕES!$E21/CARTÕES!$F21,0),ROUND(CARTÕES!$E21/CARTÕES!$F21,0)))</f>
        <v/>
      </c>
      <c r="BU21" s="57">
        <f>IF(AK21=0,0,IF(35=CARTÕES!$F21,CARTÕES!$E21-(CARTÕES!$F21-1)*ROUND(CARTÕES!$E21/CARTÕES!$F21,0),ROUND(CARTÕES!$E21/CARTÕES!$F21,0)))</f>
        <v/>
      </c>
      <c r="BV21" s="57">
        <f>IF(AL21=0,0,IF(36=CARTÕES!$F21,CARTÕES!$E21-(CARTÕES!$F21-1)*ROUND(CARTÕES!$E21/CARTÕES!$F21,0),ROUND(CARTÕES!$E21/CARTÕES!$F21,0)))</f>
        <v/>
      </c>
    </row>
    <row r="22">
      <c r="A22" s="55">
        <f>IF(CARTÕES!$C22="","",CARTÕES!$C22)</f>
        <v/>
      </c>
      <c r="B22" s="56">
        <f>SUMPRODUCT((C22:AL22='RESUMO MENSAL'!$C$4)*AM22:BV22)</f>
        <v/>
      </c>
      <c r="C22" s="57">
        <f>IF(OR(CARTÕES!$K22=0,CARTÕES!$F22=""),0,IF(1&gt;CARTÕES!$F22,0,CARTÕES!$K22+1-1))</f>
        <v/>
      </c>
      <c r="D22" s="57">
        <f>IF(OR(CARTÕES!$K22=0,CARTÕES!$F22=""),0,IF(2&gt;CARTÕES!$F22,0,CARTÕES!$K22+2-1))</f>
        <v/>
      </c>
      <c r="E22" s="57">
        <f>IF(OR(CARTÕES!$K22=0,CARTÕES!$F22=""),0,IF(3&gt;CARTÕES!$F22,0,CARTÕES!$K22+3-1))</f>
        <v/>
      </c>
      <c r="F22" s="57">
        <f>IF(OR(CARTÕES!$K22=0,CARTÕES!$F22=""),0,IF(4&gt;CARTÕES!$F22,0,CARTÕES!$K22+4-1))</f>
        <v/>
      </c>
      <c r="G22" s="57">
        <f>IF(OR(CARTÕES!$K22=0,CARTÕES!$F22=""),0,IF(5&gt;CARTÕES!$F22,0,CARTÕES!$K22+5-1))</f>
        <v/>
      </c>
      <c r="H22" s="57">
        <f>IF(OR(CARTÕES!$K22=0,CARTÕES!$F22=""),0,IF(6&gt;CARTÕES!$F22,0,CARTÕES!$K22+6-1))</f>
        <v/>
      </c>
      <c r="I22" s="57">
        <f>IF(OR(CARTÕES!$K22=0,CARTÕES!$F22=""),0,IF(7&gt;CARTÕES!$F22,0,CARTÕES!$K22+7-1))</f>
        <v/>
      </c>
      <c r="J22" s="57">
        <f>IF(OR(CARTÕES!$K22=0,CARTÕES!$F22=""),0,IF(8&gt;CARTÕES!$F22,0,CARTÕES!$K22+8-1))</f>
        <v/>
      </c>
      <c r="K22" s="57">
        <f>IF(OR(CARTÕES!$K22=0,CARTÕES!$F22=""),0,IF(9&gt;CARTÕES!$F22,0,CARTÕES!$K22+9-1))</f>
        <v/>
      </c>
      <c r="L22" s="57">
        <f>IF(OR(CARTÕES!$K22=0,CARTÕES!$F22=""),0,IF(10&gt;CARTÕES!$F22,0,CARTÕES!$K22+10-1))</f>
        <v/>
      </c>
      <c r="M22" s="57">
        <f>IF(OR(CARTÕES!$K22=0,CARTÕES!$F22=""),0,IF(11&gt;CARTÕES!$F22,0,CARTÕES!$K22+11-1))</f>
        <v/>
      </c>
      <c r="N22" s="57">
        <f>IF(OR(CARTÕES!$K22=0,CARTÕES!$F22=""),0,IF(12&gt;CARTÕES!$F22,0,CARTÕES!$K22+12-1))</f>
        <v/>
      </c>
      <c r="O22" s="57">
        <f>IF(OR(CARTÕES!$K22=0,CARTÕES!$F22=""),0,IF(13&gt;CARTÕES!$F22,0,CARTÕES!$K22+13-1))</f>
        <v/>
      </c>
      <c r="P22" s="57">
        <f>IF(OR(CARTÕES!$K22=0,CARTÕES!$F22=""),0,IF(14&gt;CARTÕES!$F22,0,CARTÕES!$K22+14-1))</f>
        <v/>
      </c>
      <c r="Q22" s="57">
        <f>IF(OR(CARTÕES!$K22=0,CARTÕES!$F22=""),0,IF(15&gt;CARTÕES!$F22,0,CARTÕES!$K22+15-1))</f>
        <v/>
      </c>
      <c r="R22" s="57">
        <f>IF(OR(CARTÕES!$K22=0,CARTÕES!$F22=""),0,IF(16&gt;CARTÕES!$F22,0,CARTÕES!$K22+16-1))</f>
        <v/>
      </c>
      <c r="S22" s="57">
        <f>IF(OR(CARTÕES!$K22=0,CARTÕES!$F22=""),0,IF(17&gt;CARTÕES!$F22,0,CARTÕES!$K22+17-1))</f>
        <v/>
      </c>
      <c r="T22" s="57">
        <f>IF(OR(CARTÕES!$K22=0,CARTÕES!$F22=""),0,IF(18&gt;CARTÕES!$F22,0,CARTÕES!$K22+18-1))</f>
        <v/>
      </c>
      <c r="U22" s="57">
        <f>IF(OR(CARTÕES!$K22=0,CARTÕES!$F22=""),0,IF(19&gt;CARTÕES!$F22,0,CARTÕES!$K22+19-1))</f>
        <v/>
      </c>
      <c r="V22" s="57">
        <f>IF(OR(CARTÕES!$K22=0,CARTÕES!$F22=""),0,IF(20&gt;CARTÕES!$F22,0,CARTÕES!$K22+20-1))</f>
        <v/>
      </c>
      <c r="W22" s="57">
        <f>IF(OR(CARTÕES!$K22=0,CARTÕES!$F22=""),0,IF(21&gt;CARTÕES!$F22,0,CARTÕES!$K22+21-1))</f>
        <v/>
      </c>
      <c r="X22" s="57">
        <f>IF(OR(CARTÕES!$K22=0,CARTÕES!$F22=""),0,IF(22&gt;CARTÕES!$F22,0,CARTÕES!$K22+22-1))</f>
        <v/>
      </c>
      <c r="Y22" s="57">
        <f>IF(OR(CARTÕES!$K22=0,CARTÕES!$F22=""),0,IF(23&gt;CARTÕES!$F22,0,CARTÕES!$K22+23-1))</f>
        <v/>
      </c>
      <c r="Z22" s="57">
        <f>IF(OR(CARTÕES!$K22=0,CARTÕES!$F22=""),0,IF(24&gt;CARTÕES!$F22,0,CARTÕES!$K22+24-1))</f>
        <v/>
      </c>
      <c r="AA22" s="57">
        <f>IF(OR(CARTÕES!$K22=0,CARTÕES!$F22=""),0,IF(25&gt;CARTÕES!$F22,0,CARTÕES!$K22+25-1))</f>
        <v/>
      </c>
      <c r="AB22" s="57">
        <f>IF(OR(CARTÕES!$K22=0,CARTÕES!$F22=""),0,IF(26&gt;CARTÕES!$F22,0,CARTÕES!$K22+26-1))</f>
        <v/>
      </c>
      <c r="AC22" s="57">
        <f>IF(OR(CARTÕES!$K22=0,CARTÕES!$F22=""),0,IF(27&gt;CARTÕES!$F22,0,CARTÕES!$K22+27-1))</f>
        <v/>
      </c>
      <c r="AD22" s="57">
        <f>IF(OR(CARTÕES!$K22=0,CARTÕES!$F22=""),0,IF(28&gt;CARTÕES!$F22,0,CARTÕES!$K22+28-1))</f>
        <v/>
      </c>
      <c r="AE22" s="57">
        <f>IF(OR(CARTÕES!$K22=0,CARTÕES!$F22=""),0,IF(29&gt;CARTÕES!$F22,0,CARTÕES!$K22+29-1))</f>
        <v/>
      </c>
      <c r="AF22" s="57">
        <f>IF(OR(CARTÕES!$K22=0,CARTÕES!$F22=""),0,IF(30&gt;CARTÕES!$F22,0,CARTÕES!$K22+30-1))</f>
        <v/>
      </c>
      <c r="AG22" s="57">
        <f>IF(OR(CARTÕES!$K22=0,CARTÕES!$F22=""),0,IF(31&gt;CARTÕES!$F22,0,CARTÕES!$K22+31-1))</f>
        <v/>
      </c>
      <c r="AH22" s="57">
        <f>IF(OR(CARTÕES!$K22=0,CARTÕES!$F22=""),0,IF(32&gt;CARTÕES!$F22,0,CARTÕES!$K22+32-1))</f>
        <v/>
      </c>
      <c r="AI22" s="57">
        <f>IF(OR(CARTÕES!$K22=0,CARTÕES!$F22=""),0,IF(33&gt;CARTÕES!$F22,0,CARTÕES!$K22+33-1))</f>
        <v/>
      </c>
      <c r="AJ22" s="57">
        <f>IF(OR(CARTÕES!$K22=0,CARTÕES!$F22=""),0,IF(34&gt;CARTÕES!$F22,0,CARTÕES!$K22+34-1))</f>
        <v/>
      </c>
      <c r="AK22" s="57">
        <f>IF(OR(CARTÕES!$K22=0,CARTÕES!$F22=""),0,IF(35&gt;CARTÕES!$F22,0,CARTÕES!$K22+35-1))</f>
        <v/>
      </c>
      <c r="AL22" s="57">
        <f>IF(OR(CARTÕES!$K22=0,CARTÕES!$F22=""),0,IF(36&gt;CARTÕES!$F22,0,CARTÕES!$K22+36-1))</f>
        <v/>
      </c>
      <c r="AM22" s="57">
        <f>IF(C22=0,0,IF(1=CARTÕES!$F22,CARTÕES!$E22-(CARTÕES!$F22-1)*ROUND(CARTÕES!$E22/CARTÕES!$F22,0),ROUND(CARTÕES!$E22/CARTÕES!$F22,0)))</f>
        <v/>
      </c>
      <c r="AN22" s="57">
        <f>IF(D22=0,0,IF(2=CARTÕES!$F22,CARTÕES!$E22-(CARTÕES!$F22-1)*ROUND(CARTÕES!$E22/CARTÕES!$F22,0),ROUND(CARTÕES!$E22/CARTÕES!$F22,0)))</f>
        <v/>
      </c>
      <c r="AO22" s="57">
        <f>IF(E22=0,0,IF(3=CARTÕES!$F22,CARTÕES!$E22-(CARTÕES!$F22-1)*ROUND(CARTÕES!$E22/CARTÕES!$F22,0),ROUND(CARTÕES!$E22/CARTÕES!$F22,0)))</f>
        <v/>
      </c>
      <c r="AP22" s="57">
        <f>IF(F22=0,0,IF(4=CARTÕES!$F22,CARTÕES!$E22-(CARTÕES!$F22-1)*ROUND(CARTÕES!$E22/CARTÕES!$F22,0),ROUND(CARTÕES!$E22/CARTÕES!$F22,0)))</f>
        <v/>
      </c>
      <c r="AQ22" s="57">
        <f>IF(G22=0,0,IF(5=CARTÕES!$F22,CARTÕES!$E22-(CARTÕES!$F22-1)*ROUND(CARTÕES!$E22/CARTÕES!$F22,0),ROUND(CARTÕES!$E22/CARTÕES!$F22,0)))</f>
        <v/>
      </c>
      <c r="AR22" s="57">
        <f>IF(H22=0,0,IF(6=CARTÕES!$F22,CARTÕES!$E22-(CARTÕES!$F22-1)*ROUND(CARTÕES!$E22/CARTÕES!$F22,0),ROUND(CARTÕES!$E22/CARTÕES!$F22,0)))</f>
        <v/>
      </c>
      <c r="AS22" s="57">
        <f>IF(I22=0,0,IF(7=CARTÕES!$F22,CARTÕES!$E22-(CARTÕES!$F22-1)*ROUND(CARTÕES!$E22/CARTÕES!$F22,0),ROUND(CARTÕES!$E22/CARTÕES!$F22,0)))</f>
        <v/>
      </c>
      <c r="AT22" s="57">
        <f>IF(J22=0,0,IF(8=CARTÕES!$F22,CARTÕES!$E22-(CARTÕES!$F22-1)*ROUND(CARTÕES!$E22/CARTÕES!$F22,0),ROUND(CARTÕES!$E22/CARTÕES!$F22,0)))</f>
        <v/>
      </c>
      <c r="AU22" s="57">
        <f>IF(K22=0,0,IF(9=CARTÕES!$F22,CARTÕES!$E22-(CARTÕES!$F22-1)*ROUND(CARTÕES!$E22/CARTÕES!$F22,0),ROUND(CARTÕES!$E22/CARTÕES!$F22,0)))</f>
        <v/>
      </c>
      <c r="AV22" s="57">
        <f>IF(L22=0,0,IF(10=CARTÕES!$F22,CARTÕES!$E22-(CARTÕES!$F22-1)*ROUND(CARTÕES!$E22/CARTÕES!$F22,0),ROUND(CARTÕES!$E22/CARTÕES!$F22,0)))</f>
        <v/>
      </c>
      <c r="AW22" s="57">
        <f>IF(M22=0,0,IF(11=CARTÕES!$F22,CARTÕES!$E22-(CARTÕES!$F22-1)*ROUND(CARTÕES!$E22/CARTÕES!$F22,0),ROUND(CARTÕES!$E22/CARTÕES!$F22,0)))</f>
        <v/>
      </c>
      <c r="AX22" s="57">
        <f>IF(N22=0,0,IF(12=CARTÕES!$F22,CARTÕES!$E22-(CARTÕES!$F22-1)*ROUND(CARTÕES!$E22/CARTÕES!$F22,0),ROUND(CARTÕES!$E22/CARTÕES!$F22,0)))</f>
        <v/>
      </c>
      <c r="AY22" s="57">
        <f>IF(O22=0,0,IF(13=CARTÕES!$F22,CARTÕES!$E22-(CARTÕES!$F22-1)*ROUND(CARTÕES!$E22/CARTÕES!$F22,0),ROUND(CARTÕES!$E22/CARTÕES!$F22,0)))</f>
        <v/>
      </c>
      <c r="AZ22" s="57">
        <f>IF(P22=0,0,IF(14=CARTÕES!$F22,CARTÕES!$E22-(CARTÕES!$F22-1)*ROUND(CARTÕES!$E22/CARTÕES!$F22,0),ROUND(CARTÕES!$E22/CARTÕES!$F22,0)))</f>
        <v/>
      </c>
      <c r="BA22" s="57">
        <f>IF(Q22=0,0,IF(15=CARTÕES!$F22,CARTÕES!$E22-(CARTÕES!$F22-1)*ROUND(CARTÕES!$E22/CARTÕES!$F22,0),ROUND(CARTÕES!$E22/CARTÕES!$F22,0)))</f>
        <v/>
      </c>
      <c r="BB22" s="57">
        <f>IF(R22=0,0,IF(16=CARTÕES!$F22,CARTÕES!$E22-(CARTÕES!$F22-1)*ROUND(CARTÕES!$E22/CARTÕES!$F22,0),ROUND(CARTÕES!$E22/CARTÕES!$F22,0)))</f>
        <v/>
      </c>
      <c r="BC22" s="57">
        <f>IF(S22=0,0,IF(17=CARTÕES!$F22,CARTÕES!$E22-(CARTÕES!$F22-1)*ROUND(CARTÕES!$E22/CARTÕES!$F22,0),ROUND(CARTÕES!$E22/CARTÕES!$F22,0)))</f>
        <v/>
      </c>
      <c r="BD22" s="57">
        <f>IF(T22=0,0,IF(18=CARTÕES!$F22,CARTÕES!$E22-(CARTÕES!$F22-1)*ROUND(CARTÕES!$E22/CARTÕES!$F22,0),ROUND(CARTÕES!$E22/CARTÕES!$F22,0)))</f>
        <v/>
      </c>
      <c r="BE22" s="57">
        <f>IF(U22=0,0,IF(19=CARTÕES!$F22,CARTÕES!$E22-(CARTÕES!$F22-1)*ROUND(CARTÕES!$E22/CARTÕES!$F22,0),ROUND(CARTÕES!$E22/CARTÕES!$F22,0)))</f>
        <v/>
      </c>
      <c r="BF22" s="57">
        <f>IF(V22=0,0,IF(20=CARTÕES!$F22,CARTÕES!$E22-(CARTÕES!$F22-1)*ROUND(CARTÕES!$E22/CARTÕES!$F22,0),ROUND(CARTÕES!$E22/CARTÕES!$F22,0)))</f>
        <v/>
      </c>
      <c r="BG22" s="57">
        <f>IF(W22=0,0,IF(21=CARTÕES!$F22,CARTÕES!$E22-(CARTÕES!$F22-1)*ROUND(CARTÕES!$E22/CARTÕES!$F22,0),ROUND(CARTÕES!$E22/CARTÕES!$F22,0)))</f>
        <v/>
      </c>
      <c r="BH22" s="57">
        <f>IF(X22=0,0,IF(22=CARTÕES!$F22,CARTÕES!$E22-(CARTÕES!$F22-1)*ROUND(CARTÕES!$E22/CARTÕES!$F22,0),ROUND(CARTÕES!$E22/CARTÕES!$F22,0)))</f>
        <v/>
      </c>
      <c r="BI22" s="57">
        <f>IF(Y22=0,0,IF(23=CARTÕES!$F22,CARTÕES!$E22-(CARTÕES!$F22-1)*ROUND(CARTÕES!$E22/CARTÕES!$F22,0),ROUND(CARTÕES!$E22/CARTÕES!$F22,0)))</f>
        <v/>
      </c>
      <c r="BJ22" s="57">
        <f>IF(Z22=0,0,IF(24=CARTÕES!$F22,CARTÕES!$E22-(CARTÕES!$F22-1)*ROUND(CARTÕES!$E22/CARTÕES!$F22,0),ROUND(CARTÕES!$E22/CARTÕES!$F22,0)))</f>
        <v/>
      </c>
      <c r="BK22" s="57">
        <f>IF(AA22=0,0,IF(25=CARTÕES!$F22,CARTÕES!$E22-(CARTÕES!$F22-1)*ROUND(CARTÕES!$E22/CARTÕES!$F22,0),ROUND(CARTÕES!$E22/CARTÕES!$F22,0)))</f>
        <v/>
      </c>
      <c r="BL22" s="57">
        <f>IF(AB22=0,0,IF(26=CARTÕES!$F22,CARTÕES!$E22-(CARTÕES!$F22-1)*ROUND(CARTÕES!$E22/CARTÕES!$F22,0),ROUND(CARTÕES!$E22/CARTÕES!$F22,0)))</f>
        <v/>
      </c>
      <c r="BM22" s="57">
        <f>IF(AC22=0,0,IF(27=CARTÕES!$F22,CARTÕES!$E22-(CARTÕES!$F22-1)*ROUND(CARTÕES!$E22/CARTÕES!$F22,0),ROUND(CARTÕES!$E22/CARTÕES!$F22,0)))</f>
        <v/>
      </c>
      <c r="BN22" s="57">
        <f>IF(AD22=0,0,IF(28=CARTÕES!$F22,CARTÕES!$E22-(CARTÕES!$F22-1)*ROUND(CARTÕES!$E22/CARTÕES!$F22,0),ROUND(CARTÕES!$E22/CARTÕES!$F22,0)))</f>
        <v/>
      </c>
      <c r="BO22" s="57">
        <f>IF(AE22=0,0,IF(29=CARTÕES!$F22,CARTÕES!$E22-(CARTÕES!$F22-1)*ROUND(CARTÕES!$E22/CARTÕES!$F22,0),ROUND(CARTÕES!$E22/CARTÕES!$F22,0)))</f>
        <v/>
      </c>
      <c r="BP22" s="57">
        <f>IF(AF22=0,0,IF(30=CARTÕES!$F22,CARTÕES!$E22-(CARTÕES!$F22-1)*ROUND(CARTÕES!$E22/CARTÕES!$F22,0),ROUND(CARTÕES!$E22/CARTÕES!$F22,0)))</f>
        <v/>
      </c>
      <c r="BQ22" s="57">
        <f>IF(AG22=0,0,IF(31=CARTÕES!$F22,CARTÕES!$E22-(CARTÕES!$F22-1)*ROUND(CARTÕES!$E22/CARTÕES!$F22,0),ROUND(CARTÕES!$E22/CARTÕES!$F22,0)))</f>
        <v/>
      </c>
      <c r="BR22" s="57">
        <f>IF(AH22=0,0,IF(32=CARTÕES!$F22,CARTÕES!$E22-(CARTÕES!$F22-1)*ROUND(CARTÕES!$E22/CARTÕES!$F22,0),ROUND(CARTÕES!$E22/CARTÕES!$F22,0)))</f>
        <v/>
      </c>
      <c r="BS22" s="57">
        <f>IF(AI22=0,0,IF(33=CARTÕES!$F22,CARTÕES!$E22-(CARTÕES!$F22-1)*ROUND(CARTÕES!$E22/CARTÕES!$F22,0),ROUND(CARTÕES!$E22/CARTÕES!$F22,0)))</f>
        <v/>
      </c>
      <c r="BT22" s="57">
        <f>IF(AJ22=0,0,IF(34=CARTÕES!$F22,CARTÕES!$E22-(CARTÕES!$F22-1)*ROUND(CARTÕES!$E22/CARTÕES!$F22,0),ROUND(CARTÕES!$E22/CARTÕES!$F22,0)))</f>
        <v/>
      </c>
      <c r="BU22" s="57">
        <f>IF(AK22=0,0,IF(35=CARTÕES!$F22,CARTÕES!$E22-(CARTÕES!$F22-1)*ROUND(CARTÕES!$E22/CARTÕES!$F22,0),ROUND(CARTÕES!$E22/CARTÕES!$F22,0)))</f>
        <v/>
      </c>
      <c r="BV22" s="57">
        <f>IF(AL22=0,0,IF(36=CARTÕES!$F22,CARTÕES!$E22-(CARTÕES!$F22-1)*ROUND(CARTÕES!$E22/CARTÕES!$F22,0),ROUND(CARTÕES!$E22/CARTÕES!$F22,0)))</f>
        <v/>
      </c>
    </row>
    <row r="23">
      <c r="A23" s="55">
        <f>IF(CARTÕES!$C23="","",CARTÕES!$C23)</f>
        <v/>
      </c>
      <c r="B23" s="56">
        <f>SUMPRODUCT((C23:AL23='RESUMO MENSAL'!$C$4)*AM23:BV23)</f>
        <v/>
      </c>
      <c r="C23" s="57">
        <f>IF(OR(CARTÕES!$K23=0,CARTÕES!$F23=""),0,IF(1&gt;CARTÕES!$F23,0,CARTÕES!$K23+1-1))</f>
        <v/>
      </c>
      <c r="D23" s="57">
        <f>IF(OR(CARTÕES!$K23=0,CARTÕES!$F23=""),0,IF(2&gt;CARTÕES!$F23,0,CARTÕES!$K23+2-1))</f>
        <v/>
      </c>
      <c r="E23" s="57">
        <f>IF(OR(CARTÕES!$K23=0,CARTÕES!$F23=""),0,IF(3&gt;CARTÕES!$F23,0,CARTÕES!$K23+3-1))</f>
        <v/>
      </c>
      <c r="F23" s="57">
        <f>IF(OR(CARTÕES!$K23=0,CARTÕES!$F23=""),0,IF(4&gt;CARTÕES!$F23,0,CARTÕES!$K23+4-1))</f>
        <v/>
      </c>
      <c r="G23" s="57">
        <f>IF(OR(CARTÕES!$K23=0,CARTÕES!$F23=""),0,IF(5&gt;CARTÕES!$F23,0,CARTÕES!$K23+5-1))</f>
        <v/>
      </c>
      <c r="H23" s="57">
        <f>IF(OR(CARTÕES!$K23=0,CARTÕES!$F23=""),0,IF(6&gt;CARTÕES!$F23,0,CARTÕES!$K23+6-1))</f>
        <v/>
      </c>
      <c r="I23" s="57">
        <f>IF(OR(CARTÕES!$K23=0,CARTÕES!$F23=""),0,IF(7&gt;CARTÕES!$F23,0,CARTÕES!$K23+7-1))</f>
        <v/>
      </c>
      <c r="J23" s="57">
        <f>IF(OR(CARTÕES!$K23=0,CARTÕES!$F23=""),0,IF(8&gt;CARTÕES!$F23,0,CARTÕES!$K23+8-1))</f>
        <v/>
      </c>
      <c r="K23" s="57">
        <f>IF(OR(CARTÕES!$K23=0,CARTÕES!$F23=""),0,IF(9&gt;CARTÕES!$F23,0,CARTÕES!$K23+9-1))</f>
        <v/>
      </c>
      <c r="L23" s="57">
        <f>IF(OR(CARTÕES!$K23=0,CARTÕES!$F23=""),0,IF(10&gt;CARTÕES!$F23,0,CARTÕES!$K23+10-1))</f>
        <v/>
      </c>
      <c r="M23" s="57">
        <f>IF(OR(CARTÕES!$K23=0,CARTÕES!$F23=""),0,IF(11&gt;CARTÕES!$F23,0,CARTÕES!$K23+11-1))</f>
        <v/>
      </c>
      <c r="N23" s="57">
        <f>IF(OR(CARTÕES!$K23=0,CARTÕES!$F23=""),0,IF(12&gt;CARTÕES!$F23,0,CARTÕES!$K23+12-1))</f>
        <v/>
      </c>
      <c r="O23" s="57">
        <f>IF(OR(CARTÕES!$K23=0,CARTÕES!$F23=""),0,IF(13&gt;CARTÕES!$F23,0,CARTÕES!$K23+13-1))</f>
        <v/>
      </c>
      <c r="P23" s="57">
        <f>IF(OR(CARTÕES!$K23=0,CARTÕES!$F23=""),0,IF(14&gt;CARTÕES!$F23,0,CARTÕES!$K23+14-1))</f>
        <v/>
      </c>
      <c r="Q23" s="57">
        <f>IF(OR(CARTÕES!$K23=0,CARTÕES!$F23=""),0,IF(15&gt;CARTÕES!$F23,0,CARTÕES!$K23+15-1))</f>
        <v/>
      </c>
      <c r="R23" s="57">
        <f>IF(OR(CARTÕES!$K23=0,CARTÕES!$F23=""),0,IF(16&gt;CARTÕES!$F23,0,CARTÕES!$K23+16-1))</f>
        <v/>
      </c>
      <c r="S23" s="57">
        <f>IF(OR(CARTÕES!$K23=0,CARTÕES!$F23=""),0,IF(17&gt;CARTÕES!$F23,0,CARTÕES!$K23+17-1))</f>
        <v/>
      </c>
      <c r="T23" s="57">
        <f>IF(OR(CARTÕES!$K23=0,CARTÕES!$F23=""),0,IF(18&gt;CARTÕES!$F23,0,CARTÕES!$K23+18-1))</f>
        <v/>
      </c>
      <c r="U23" s="57">
        <f>IF(OR(CARTÕES!$K23=0,CARTÕES!$F23=""),0,IF(19&gt;CARTÕES!$F23,0,CARTÕES!$K23+19-1))</f>
        <v/>
      </c>
      <c r="V23" s="57">
        <f>IF(OR(CARTÕES!$K23=0,CARTÕES!$F23=""),0,IF(20&gt;CARTÕES!$F23,0,CARTÕES!$K23+20-1))</f>
        <v/>
      </c>
      <c r="W23" s="57">
        <f>IF(OR(CARTÕES!$K23=0,CARTÕES!$F23=""),0,IF(21&gt;CARTÕES!$F23,0,CARTÕES!$K23+21-1))</f>
        <v/>
      </c>
      <c r="X23" s="57">
        <f>IF(OR(CARTÕES!$K23=0,CARTÕES!$F23=""),0,IF(22&gt;CARTÕES!$F23,0,CARTÕES!$K23+22-1))</f>
        <v/>
      </c>
      <c r="Y23" s="57">
        <f>IF(OR(CARTÕES!$K23=0,CARTÕES!$F23=""),0,IF(23&gt;CARTÕES!$F23,0,CARTÕES!$K23+23-1))</f>
        <v/>
      </c>
      <c r="Z23" s="57">
        <f>IF(OR(CARTÕES!$K23=0,CARTÕES!$F23=""),0,IF(24&gt;CARTÕES!$F23,0,CARTÕES!$K23+24-1))</f>
        <v/>
      </c>
      <c r="AA23" s="57">
        <f>IF(OR(CARTÕES!$K23=0,CARTÕES!$F23=""),0,IF(25&gt;CARTÕES!$F23,0,CARTÕES!$K23+25-1))</f>
        <v/>
      </c>
      <c r="AB23" s="57">
        <f>IF(OR(CARTÕES!$K23=0,CARTÕES!$F23=""),0,IF(26&gt;CARTÕES!$F23,0,CARTÕES!$K23+26-1))</f>
        <v/>
      </c>
      <c r="AC23" s="57">
        <f>IF(OR(CARTÕES!$K23=0,CARTÕES!$F23=""),0,IF(27&gt;CARTÕES!$F23,0,CARTÕES!$K23+27-1))</f>
        <v/>
      </c>
      <c r="AD23" s="57">
        <f>IF(OR(CARTÕES!$K23=0,CARTÕES!$F23=""),0,IF(28&gt;CARTÕES!$F23,0,CARTÕES!$K23+28-1))</f>
        <v/>
      </c>
      <c r="AE23" s="57">
        <f>IF(OR(CARTÕES!$K23=0,CARTÕES!$F23=""),0,IF(29&gt;CARTÕES!$F23,0,CARTÕES!$K23+29-1))</f>
        <v/>
      </c>
      <c r="AF23" s="57">
        <f>IF(OR(CARTÕES!$K23=0,CARTÕES!$F23=""),0,IF(30&gt;CARTÕES!$F23,0,CARTÕES!$K23+30-1))</f>
        <v/>
      </c>
      <c r="AG23" s="57">
        <f>IF(OR(CARTÕES!$K23=0,CARTÕES!$F23=""),0,IF(31&gt;CARTÕES!$F23,0,CARTÕES!$K23+31-1))</f>
        <v/>
      </c>
      <c r="AH23" s="57">
        <f>IF(OR(CARTÕES!$K23=0,CARTÕES!$F23=""),0,IF(32&gt;CARTÕES!$F23,0,CARTÕES!$K23+32-1))</f>
        <v/>
      </c>
      <c r="AI23" s="57">
        <f>IF(OR(CARTÕES!$K23=0,CARTÕES!$F23=""),0,IF(33&gt;CARTÕES!$F23,0,CARTÕES!$K23+33-1))</f>
        <v/>
      </c>
      <c r="AJ23" s="57">
        <f>IF(OR(CARTÕES!$K23=0,CARTÕES!$F23=""),0,IF(34&gt;CARTÕES!$F23,0,CARTÕES!$K23+34-1))</f>
        <v/>
      </c>
      <c r="AK23" s="57">
        <f>IF(OR(CARTÕES!$K23=0,CARTÕES!$F23=""),0,IF(35&gt;CARTÕES!$F23,0,CARTÕES!$K23+35-1))</f>
        <v/>
      </c>
      <c r="AL23" s="57">
        <f>IF(OR(CARTÕES!$K23=0,CARTÕES!$F23=""),0,IF(36&gt;CARTÕES!$F23,0,CARTÕES!$K23+36-1))</f>
        <v/>
      </c>
      <c r="AM23" s="57">
        <f>IF(C23=0,0,IF(1=CARTÕES!$F23,CARTÕES!$E23-(CARTÕES!$F23-1)*ROUND(CARTÕES!$E23/CARTÕES!$F23,0),ROUND(CARTÕES!$E23/CARTÕES!$F23,0)))</f>
        <v/>
      </c>
      <c r="AN23" s="57">
        <f>IF(D23=0,0,IF(2=CARTÕES!$F23,CARTÕES!$E23-(CARTÕES!$F23-1)*ROUND(CARTÕES!$E23/CARTÕES!$F23,0),ROUND(CARTÕES!$E23/CARTÕES!$F23,0)))</f>
        <v/>
      </c>
      <c r="AO23" s="57">
        <f>IF(E23=0,0,IF(3=CARTÕES!$F23,CARTÕES!$E23-(CARTÕES!$F23-1)*ROUND(CARTÕES!$E23/CARTÕES!$F23,0),ROUND(CARTÕES!$E23/CARTÕES!$F23,0)))</f>
        <v/>
      </c>
      <c r="AP23" s="57">
        <f>IF(F23=0,0,IF(4=CARTÕES!$F23,CARTÕES!$E23-(CARTÕES!$F23-1)*ROUND(CARTÕES!$E23/CARTÕES!$F23,0),ROUND(CARTÕES!$E23/CARTÕES!$F23,0)))</f>
        <v/>
      </c>
      <c r="AQ23" s="57">
        <f>IF(G23=0,0,IF(5=CARTÕES!$F23,CARTÕES!$E23-(CARTÕES!$F23-1)*ROUND(CARTÕES!$E23/CARTÕES!$F23,0),ROUND(CARTÕES!$E23/CARTÕES!$F23,0)))</f>
        <v/>
      </c>
      <c r="AR23" s="57">
        <f>IF(H23=0,0,IF(6=CARTÕES!$F23,CARTÕES!$E23-(CARTÕES!$F23-1)*ROUND(CARTÕES!$E23/CARTÕES!$F23,0),ROUND(CARTÕES!$E23/CARTÕES!$F23,0)))</f>
        <v/>
      </c>
      <c r="AS23" s="57">
        <f>IF(I23=0,0,IF(7=CARTÕES!$F23,CARTÕES!$E23-(CARTÕES!$F23-1)*ROUND(CARTÕES!$E23/CARTÕES!$F23,0),ROUND(CARTÕES!$E23/CARTÕES!$F23,0)))</f>
        <v/>
      </c>
      <c r="AT23" s="57">
        <f>IF(J23=0,0,IF(8=CARTÕES!$F23,CARTÕES!$E23-(CARTÕES!$F23-1)*ROUND(CARTÕES!$E23/CARTÕES!$F23,0),ROUND(CARTÕES!$E23/CARTÕES!$F23,0)))</f>
        <v/>
      </c>
      <c r="AU23" s="57">
        <f>IF(K23=0,0,IF(9=CARTÕES!$F23,CARTÕES!$E23-(CARTÕES!$F23-1)*ROUND(CARTÕES!$E23/CARTÕES!$F23,0),ROUND(CARTÕES!$E23/CARTÕES!$F23,0)))</f>
        <v/>
      </c>
      <c r="AV23" s="57">
        <f>IF(L23=0,0,IF(10=CARTÕES!$F23,CARTÕES!$E23-(CARTÕES!$F23-1)*ROUND(CARTÕES!$E23/CARTÕES!$F23,0),ROUND(CARTÕES!$E23/CARTÕES!$F23,0)))</f>
        <v/>
      </c>
      <c r="AW23" s="57">
        <f>IF(M23=0,0,IF(11=CARTÕES!$F23,CARTÕES!$E23-(CARTÕES!$F23-1)*ROUND(CARTÕES!$E23/CARTÕES!$F23,0),ROUND(CARTÕES!$E23/CARTÕES!$F23,0)))</f>
        <v/>
      </c>
      <c r="AX23" s="57">
        <f>IF(N23=0,0,IF(12=CARTÕES!$F23,CARTÕES!$E23-(CARTÕES!$F23-1)*ROUND(CARTÕES!$E23/CARTÕES!$F23,0),ROUND(CARTÕES!$E23/CARTÕES!$F23,0)))</f>
        <v/>
      </c>
      <c r="AY23" s="57">
        <f>IF(O23=0,0,IF(13=CARTÕES!$F23,CARTÕES!$E23-(CARTÕES!$F23-1)*ROUND(CARTÕES!$E23/CARTÕES!$F23,0),ROUND(CARTÕES!$E23/CARTÕES!$F23,0)))</f>
        <v/>
      </c>
      <c r="AZ23" s="57">
        <f>IF(P23=0,0,IF(14=CARTÕES!$F23,CARTÕES!$E23-(CARTÕES!$F23-1)*ROUND(CARTÕES!$E23/CARTÕES!$F23,0),ROUND(CARTÕES!$E23/CARTÕES!$F23,0)))</f>
        <v/>
      </c>
      <c r="BA23" s="57">
        <f>IF(Q23=0,0,IF(15=CARTÕES!$F23,CARTÕES!$E23-(CARTÕES!$F23-1)*ROUND(CARTÕES!$E23/CARTÕES!$F23,0),ROUND(CARTÕES!$E23/CARTÕES!$F23,0)))</f>
        <v/>
      </c>
      <c r="BB23" s="57">
        <f>IF(R23=0,0,IF(16=CARTÕES!$F23,CARTÕES!$E23-(CARTÕES!$F23-1)*ROUND(CARTÕES!$E23/CARTÕES!$F23,0),ROUND(CARTÕES!$E23/CARTÕES!$F23,0)))</f>
        <v/>
      </c>
      <c r="BC23" s="57">
        <f>IF(S23=0,0,IF(17=CARTÕES!$F23,CARTÕES!$E23-(CARTÕES!$F23-1)*ROUND(CARTÕES!$E23/CARTÕES!$F23,0),ROUND(CARTÕES!$E23/CARTÕES!$F23,0)))</f>
        <v/>
      </c>
      <c r="BD23" s="57">
        <f>IF(T23=0,0,IF(18=CARTÕES!$F23,CARTÕES!$E23-(CARTÕES!$F23-1)*ROUND(CARTÕES!$E23/CARTÕES!$F23,0),ROUND(CARTÕES!$E23/CARTÕES!$F23,0)))</f>
        <v/>
      </c>
      <c r="BE23" s="57">
        <f>IF(U23=0,0,IF(19=CARTÕES!$F23,CARTÕES!$E23-(CARTÕES!$F23-1)*ROUND(CARTÕES!$E23/CARTÕES!$F23,0),ROUND(CARTÕES!$E23/CARTÕES!$F23,0)))</f>
        <v/>
      </c>
      <c r="BF23" s="57">
        <f>IF(V23=0,0,IF(20=CARTÕES!$F23,CARTÕES!$E23-(CARTÕES!$F23-1)*ROUND(CARTÕES!$E23/CARTÕES!$F23,0),ROUND(CARTÕES!$E23/CARTÕES!$F23,0)))</f>
        <v/>
      </c>
      <c r="BG23" s="57">
        <f>IF(W23=0,0,IF(21=CARTÕES!$F23,CARTÕES!$E23-(CARTÕES!$F23-1)*ROUND(CARTÕES!$E23/CARTÕES!$F23,0),ROUND(CARTÕES!$E23/CARTÕES!$F23,0)))</f>
        <v/>
      </c>
      <c r="BH23" s="57">
        <f>IF(X23=0,0,IF(22=CARTÕES!$F23,CARTÕES!$E23-(CARTÕES!$F23-1)*ROUND(CARTÕES!$E23/CARTÕES!$F23,0),ROUND(CARTÕES!$E23/CARTÕES!$F23,0)))</f>
        <v/>
      </c>
      <c r="BI23" s="57">
        <f>IF(Y23=0,0,IF(23=CARTÕES!$F23,CARTÕES!$E23-(CARTÕES!$F23-1)*ROUND(CARTÕES!$E23/CARTÕES!$F23,0),ROUND(CARTÕES!$E23/CARTÕES!$F23,0)))</f>
        <v/>
      </c>
      <c r="BJ23" s="57">
        <f>IF(Z23=0,0,IF(24=CARTÕES!$F23,CARTÕES!$E23-(CARTÕES!$F23-1)*ROUND(CARTÕES!$E23/CARTÕES!$F23,0),ROUND(CARTÕES!$E23/CARTÕES!$F23,0)))</f>
        <v/>
      </c>
      <c r="BK23" s="57">
        <f>IF(AA23=0,0,IF(25=CARTÕES!$F23,CARTÕES!$E23-(CARTÕES!$F23-1)*ROUND(CARTÕES!$E23/CARTÕES!$F23,0),ROUND(CARTÕES!$E23/CARTÕES!$F23,0)))</f>
        <v/>
      </c>
      <c r="BL23" s="57">
        <f>IF(AB23=0,0,IF(26=CARTÕES!$F23,CARTÕES!$E23-(CARTÕES!$F23-1)*ROUND(CARTÕES!$E23/CARTÕES!$F23,0),ROUND(CARTÕES!$E23/CARTÕES!$F23,0)))</f>
        <v/>
      </c>
      <c r="BM23" s="57">
        <f>IF(AC23=0,0,IF(27=CARTÕES!$F23,CARTÕES!$E23-(CARTÕES!$F23-1)*ROUND(CARTÕES!$E23/CARTÕES!$F23,0),ROUND(CARTÕES!$E23/CARTÕES!$F23,0)))</f>
        <v/>
      </c>
      <c r="BN23" s="57">
        <f>IF(AD23=0,0,IF(28=CARTÕES!$F23,CARTÕES!$E23-(CARTÕES!$F23-1)*ROUND(CARTÕES!$E23/CARTÕES!$F23,0),ROUND(CARTÕES!$E23/CARTÕES!$F23,0)))</f>
        <v/>
      </c>
      <c r="BO23" s="57">
        <f>IF(AE23=0,0,IF(29=CARTÕES!$F23,CARTÕES!$E23-(CARTÕES!$F23-1)*ROUND(CARTÕES!$E23/CARTÕES!$F23,0),ROUND(CARTÕES!$E23/CARTÕES!$F23,0)))</f>
        <v/>
      </c>
      <c r="BP23" s="57">
        <f>IF(AF23=0,0,IF(30=CARTÕES!$F23,CARTÕES!$E23-(CARTÕES!$F23-1)*ROUND(CARTÕES!$E23/CARTÕES!$F23,0),ROUND(CARTÕES!$E23/CARTÕES!$F23,0)))</f>
        <v/>
      </c>
      <c r="BQ23" s="57">
        <f>IF(AG23=0,0,IF(31=CARTÕES!$F23,CARTÕES!$E23-(CARTÕES!$F23-1)*ROUND(CARTÕES!$E23/CARTÕES!$F23,0),ROUND(CARTÕES!$E23/CARTÕES!$F23,0)))</f>
        <v/>
      </c>
      <c r="BR23" s="57">
        <f>IF(AH23=0,0,IF(32=CARTÕES!$F23,CARTÕES!$E23-(CARTÕES!$F23-1)*ROUND(CARTÕES!$E23/CARTÕES!$F23,0),ROUND(CARTÕES!$E23/CARTÕES!$F23,0)))</f>
        <v/>
      </c>
      <c r="BS23" s="57">
        <f>IF(AI23=0,0,IF(33=CARTÕES!$F23,CARTÕES!$E23-(CARTÕES!$F23-1)*ROUND(CARTÕES!$E23/CARTÕES!$F23,0),ROUND(CARTÕES!$E23/CARTÕES!$F23,0)))</f>
        <v/>
      </c>
      <c r="BT23" s="57">
        <f>IF(AJ23=0,0,IF(34=CARTÕES!$F23,CARTÕES!$E23-(CARTÕES!$F23-1)*ROUND(CARTÕES!$E23/CARTÕES!$F23,0),ROUND(CARTÕES!$E23/CARTÕES!$F23,0)))</f>
        <v/>
      </c>
      <c r="BU23" s="57">
        <f>IF(AK23=0,0,IF(35=CARTÕES!$F23,CARTÕES!$E23-(CARTÕES!$F23-1)*ROUND(CARTÕES!$E23/CARTÕES!$F23,0),ROUND(CARTÕES!$E23/CARTÕES!$F23,0)))</f>
        <v/>
      </c>
      <c r="BV23" s="57">
        <f>IF(AL23=0,0,IF(36=CARTÕES!$F23,CARTÕES!$E23-(CARTÕES!$F23-1)*ROUND(CARTÕES!$E23/CARTÕES!$F23,0),ROUND(CARTÕES!$E23/CARTÕES!$F23,0)))</f>
        <v/>
      </c>
    </row>
    <row r="24">
      <c r="A24" s="55">
        <f>IF(CARTÕES!$C24="","",CARTÕES!$C24)</f>
        <v/>
      </c>
      <c r="B24" s="56">
        <f>SUMPRODUCT((C24:AL24='RESUMO MENSAL'!$C$4)*AM24:BV24)</f>
        <v/>
      </c>
      <c r="C24" s="57">
        <f>IF(OR(CARTÕES!$K24=0,CARTÕES!$F24=""),0,IF(1&gt;CARTÕES!$F24,0,CARTÕES!$K24+1-1))</f>
        <v/>
      </c>
      <c r="D24" s="57">
        <f>IF(OR(CARTÕES!$K24=0,CARTÕES!$F24=""),0,IF(2&gt;CARTÕES!$F24,0,CARTÕES!$K24+2-1))</f>
        <v/>
      </c>
      <c r="E24" s="57">
        <f>IF(OR(CARTÕES!$K24=0,CARTÕES!$F24=""),0,IF(3&gt;CARTÕES!$F24,0,CARTÕES!$K24+3-1))</f>
        <v/>
      </c>
      <c r="F24" s="57">
        <f>IF(OR(CARTÕES!$K24=0,CARTÕES!$F24=""),0,IF(4&gt;CARTÕES!$F24,0,CARTÕES!$K24+4-1))</f>
        <v/>
      </c>
      <c r="G24" s="57">
        <f>IF(OR(CARTÕES!$K24=0,CARTÕES!$F24=""),0,IF(5&gt;CARTÕES!$F24,0,CARTÕES!$K24+5-1))</f>
        <v/>
      </c>
      <c r="H24" s="57">
        <f>IF(OR(CARTÕES!$K24=0,CARTÕES!$F24=""),0,IF(6&gt;CARTÕES!$F24,0,CARTÕES!$K24+6-1))</f>
        <v/>
      </c>
      <c r="I24" s="57">
        <f>IF(OR(CARTÕES!$K24=0,CARTÕES!$F24=""),0,IF(7&gt;CARTÕES!$F24,0,CARTÕES!$K24+7-1))</f>
        <v/>
      </c>
      <c r="J24" s="57">
        <f>IF(OR(CARTÕES!$K24=0,CARTÕES!$F24=""),0,IF(8&gt;CARTÕES!$F24,0,CARTÕES!$K24+8-1))</f>
        <v/>
      </c>
      <c r="K24" s="57">
        <f>IF(OR(CARTÕES!$K24=0,CARTÕES!$F24=""),0,IF(9&gt;CARTÕES!$F24,0,CARTÕES!$K24+9-1))</f>
        <v/>
      </c>
      <c r="L24" s="57">
        <f>IF(OR(CARTÕES!$K24=0,CARTÕES!$F24=""),0,IF(10&gt;CARTÕES!$F24,0,CARTÕES!$K24+10-1))</f>
        <v/>
      </c>
      <c r="M24" s="57">
        <f>IF(OR(CARTÕES!$K24=0,CARTÕES!$F24=""),0,IF(11&gt;CARTÕES!$F24,0,CARTÕES!$K24+11-1))</f>
        <v/>
      </c>
      <c r="N24" s="57">
        <f>IF(OR(CARTÕES!$K24=0,CARTÕES!$F24=""),0,IF(12&gt;CARTÕES!$F24,0,CARTÕES!$K24+12-1))</f>
        <v/>
      </c>
      <c r="O24" s="57">
        <f>IF(OR(CARTÕES!$K24=0,CARTÕES!$F24=""),0,IF(13&gt;CARTÕES!$F24,0,CARTÕES!$K24+13-1))</f>
        <v/>
      </c>
      <c r="P24" s="57">
        <f>IF(OR(CARTÕES!$K24=0,CARTÕES!$F24=""),0,IF(14&gt;CARTÕES!$F24,0,CARTÕES!$K24+14-1))</f>
        <v/>
      </c>
      <c r="Q24" s="57">
        <f>IF(OR(CARTÕES!$K24=0,CARTÕES!$F24=""),0,IF(15&gt;CARTÕES!$F24,0,CARTÕES!$K24+15-1))</f>
        <v/>
      </c>
      <c r="R24" s="57">
        <f>IF(OR(CARTÕES!$K24=0,CARTÕES!$F24=""),0,IF(16&gt;CARTÕES!$F24,0,CARTÕES!$K24+16-1))</f>
        <v/>
      </c>
      <c r="S24" s="57">
        <f>IF(OR(CARTÕES!$K24=0,CARTÕES!$F24=""),0,IF(17&gt;CARTÕES!$F24,0,CARTÕES!$K24+17-1))</f>
        <v/>
      </c>
      <c r="T24" s="57">
        <f>IF(OR(CARTÕES!$K24=0,CARTÕES!$F24=""),0,IF(18&gt;CARTÕES!$F24,0,CARTÕES!$K24+18-1))</f>
        <v/>
      </c>
      <c r="U24" s="57">
        <f>IF(OR(CARTÕES!$K24=0,CARTÕES!$F24=""),0,IF(19&gt;CARTÕES!$F24,0,CARTÕES!$K24+19-1))</f>
        <v/>
      </c>
      <c r="V24" s="57">
        <f>IF(OR(CARTÕES!$K24=0,CARTÕES!$F24=""),0,IF(20&gt;CARTÕES!$F24,0,CARTÕES!$K24+20-1))</f>
        <v/>
      </c>
      <c r="W24" s="57">
        <f>IF(OR(CARTÕES!$K24=0,CARTÕES!$F24=""),0,IF(21&gt;CARTÕES!$F24,0,CARTÕES!$K24+21-1))</f>
        <v/>
      </c>
      <c r="X24" s="57">
        <f>IF(OR(CARTÕES!$K24=0,CARTÕES!$F24=""),0,IF(22&gt;CARTÕES!$F24,0,CARTÕES!$K24+22-1))</f>
        <v/>
      </c>
      <c r="Y24" s="57">
        <f>IF(OR(CARTÕES!$K24=0,CARTÕES!$F24=""),0,IF(23&gt;CARTÕES!$F24,0,CARTÕES!$K24+23-1))</f>
        <v/>
      </c>
      <c r="Z24" s="57">
        <f>IF(OR(CARTÕES!$K24=0,CARTÕES!$F24=""),0,IF(24&gt;CARTÕES!$F24,0,CARTÕES!$K24+24-1))</f>
        <v/>
      </c>
      <c r="AA24" s="57">
        <f>IF(OR(CARTÕES!$K24=0,CARTÕES!$F24=""),0,IF(25&gt;CARTÕES!$F24,0,CARTÕES!$K24+25-1))</f>
        <v/>
      </c>
      <c r="AB24" s="57">
        <f>IF(OR(CARTÕES!$K24=0,CARTÕES!$F24=""),0,IF(26&gt;CARTÕES!$F24,0,CARTÕES!$K24+26-1))</f>
        <v/>
      </c>
      <c r="AC24" s="57">
        <f>IF(OR(CARTÕES!$K24=0,CARTÕES!$F24=""),0,IF(27&gt;CARTÕES!$F24,0,CARTÕES!$K24+27-1))</f>
        <v/>
      </c>
      <c r="AD24" s="57">
        <f>IF(OR(CARTÕES!$K24=0,CARTÕES!$F24=""),0,IF(28&gt;CARTÕES!$F24,0,CARTÕES!$K24+28-1))</f>
        <v/>
      </c>
      <c r="AE24" s="57">
        <f>IF(OR(CARTÕES!$K24=0,CARTÕES!$F24=""),0,IF(29&gt;CARTÕES!$F24,0,CARTÕES!$K24+29-1))</f>
        <v/>
      </c>
      <c r="AF24" s="57">
        <f>IF(OR(CARTÕES!$K24=0,CARTÕES!$F24=""),0,IF(30&gt;CARTÕES!$F24,0,CARTÕES!$K24+30-1))</f>
        <v/>
      </c>
      <c r="AG24" s="57">
        <f>IF(OR(CARTÕES!$K24=0,CARTÕES!$F24=""),0,IF(31&gt;CARTÕES!$F24,0,CARTÕES!$K24+31-1))</f>
        <v/>
      </c>
      <c r="AH24" s="57">
        <f>IF(OR(CARTÕES!$K24=0,CARTÕES!$F24=""),0,IF(32&gt;CARTÕES!$F24,0,CARTÕES!$K24+32-1))</f>
        <v/>
      </c>
      <c r="AI24" s="57">
        <f>IF(OR(CARTÕES!$K24=0,CARTÕES!$F24=""),0,IF(33&gt;CARTÕES!$F24,0,CARTÕES!$K24+33-1))</f>
        <v/>
      </c>
      <c r="AJ24" s="57">
        <f>IF(OR(CARTÕES!$K24=0,CARTÕES!$F24=""),0,IF(34&gt;CARTÕES!$F24,0,CARTÕES!$K24+34-1))</f>
        <v/>
      </c>
      <c r="AK24" s="57">
        <f>IF(OR(CARTÕES!$K24=0,CARTÕES!$F24=""),0,IF(35&gt;CARTÕES!$F24,0,CARTÕES!$K24+35-1))</f>
        <v/>
      </c>
      <c r="AL24" s="57">
        <f>IF(OR(CARTÕES!$K24=0,CARTÕES!$F24=""),0,IF(36&gt;CARTÕES!$F24,0,CARTÕES!$K24+36-1))</f>
        <v/>
      </c>
      <c r="AM24" s="57">
        <f>IF(C24=0,0,IF(1=CARTÕES!$F24,CARTÕES!$E24-(CARTÕES!$F24-1)*ROUND(CARTÕES!$E24/CARTÕES!$F24,0),ROUND(CARTÕES!$E24/CARTÕES!$F24,0)))</f>
        <v/>
      </c>
      <c r="AN24" s="57">
        <f>IF(D24=0,0,IF(2=CARTÕES!$F24,CARTÕES!$E24-(CARTÕES!$F24-1)*ROUND(CARTÕES!$E24/CARTÕES!$F24,0),ROUND(CARTÕES!$E24/CARTÕES!$F24,0)))</f>
        <v/>
      </c>
      <c r="AO24" s="57">
        <f>IF(E24=0,0,IF(3=CARTÕES!$F24,CARTÕES!$E24-(CARTÕES!$F24-1)*ROUND(CARTÕES!$E24/CARTÕES!$F24,0),ROUND(CARTÕES!$E24/CARTÕES!$F24,0)))</f>
        <v/>
      </c>
      <c r="AP24" s="57">
        <f>IF(F24=0,0,IF(4=CARTÕES!$F24,CARTÕES!$E24-(CARTÕES!$F24-1)*ROUND(CARTÕES!$E24/CARTÕES!$F24,0),ROUND(CARTÕES!$E24/CARTÕES!$F24,0)))</f>
        <v/>
      </c>
      <c r="AQ24" s="57">
        <f>IF(G24=0,0,IF(5=CARTÕES!$F24,CARTÕES!$E24-(CARTÕES!$F24-1)*ROUND(CARTÕES!$E24/CARTÕES!$F24,0),ROUND(CARTÕES!$E24/CARTÕES!$F24,0)))</f>
        <v/>
      </c>
      <c r="AR24" s="57">
        <f>IF(H24=0,0,IF(6=CARTÕES!$F24,CARTÕES!$E24-(CARTÕES!$F24-1)*ROUND(CARTÕES!$E24/CARTÕES!$F24,0),ROUND(CARTÕES!$E24/CARTÕES!$F24,0)))</f>
        <v/>
      </c>
      <c r="AS24" s="57">
        <f>IF(I24=0,0,IF(7=CARTÕES!$F24,CARTÕES!$E24-(CARTÕES!$F24-1)*ROUND(CARTÕES!$E24/CARTÕES!$F24,0),ROUND(CARTÕES!$E24/CARTÕES!$F24,0)))</f>
        <v/>
      </c>
      <c r="AT24" s="57">
        <f>IF(J24=0,0,IF(8=CARTÕES!$F24,CARTÕES!$E24-(CARTÕES!$F24-1)*ROUND(CARTÕES!$E24/CARTÕES!$F24,0),ROUND(CARTÕES!$E24/CARTÕES!$F24,0)))</f>
        <v/>
      </c>
      <c r="AU24" s="57">
        <f>IF(K24=0,0,IF(9=CARTÕES!$F24,CARTÕES!$E24-(CARTÕES!$F24-1)*ROUND(CARTÕES!$E24/CARTÕES!$F24,0),ROUND(CARTÕES!$E24/CARTÕES!$F24,0)))</f>
        <v/>
      </c>
      <c r="AV24" s="57">
        <f>IF(L24=0,0,IF(10=CARTÕES!$F24,CARTÕES!$E24-(CARTÕES!$F24-1)*ROUND(CARTÕES!$E24/CARTÕES!$F24,0),ROUND(CARTÕES!$E24/CARTÕES!$F24,0)))</f>
        <v/>
      </c>
      <c r="AW24" s="57">
        <f>IF(M24=0,0,IF(11=CARTÕES!$F24,CARTÕES!$E24-(CARTÕES!$F24-1)*ROUND(CARTÕES!$E24/CARTÕES!$F24,0),ROUND(CARTÕES!$E24/CARTÕES!$F24,0)))</f>
        <v/>
      </c>
      <c r="AX24" s="57">
        <f>IF(N24=0,0,IF(12=CARTÕES!$F24,CARTÕES!$E24-(CARTÕES!$F24-1)*ROUND(CARTÕES!$E24/CARTÕES!$F24,0),ROUND(CARTÕES!$E24/CARTÕES!$F24,0)))</f>
        <v/>
      </c>
      <c r="AY24" s="57">
        <f>IF(O24=0,0,IF(13=CARTÕES!$F24,CARTÕES!$E24-(CARTÕES!$F24-1)*ROUND(CARTÕES!$E24/CARTÕES!$F24,0),ROUND(CARTÕES!$E24/CARTÕES!$F24,0)))</f>
        <v/>
      </c>
      <c r="AZ24" s="57">
        <f>IF(P24=0,0,IF(14=CARTÕES!$F24,CARTÕES!$E24-(CARTÕES!$F24-1)*ROUND(CARTÕES!$E24/CARTÕES!$F24,0),ROUND(CARTÕES!$E24/CARTÕES!$F24,0)))</f>
        <v/>
      </c>
      <c r="BA24" s="57">
        <f>IF(Q24=0,0,IF(15=CARTÕES!$F24,CARTÕES!$E24-(CARTÕES!$F24-1)*ROUND(CARTÕES!$E24/CARTÕES!$F24,0),ROUND(CARTÕES!$E24/CARTÕES!$F24,0)))</f>
        <v/>
      </c>
      <c r="BB24" s="57">
        <f>IF(R24=0,0,IF(16=CARTÕES!$F24,CARTÕES!$E24-(CARTÕES!$F24-1)*ROUND(CARTÕES!$E24/CARTÕES!$F24,0),ROUND(CARTÕES!$E24/CARTÕES!$F24,0)))</f>
        <v/>
      </c>
      <c r="BC24" s="57">
        <f>IF(S24=0,0,IF(17=CARTÕES!$F24,CARTÕES!$E24-(CARTÕES!$F24-1)*ROUND(CARTÕES!$E24/CARTÕES!$F24,0),ROUND(CARTÕES!$E24/CARTÕES!$F24,0)))</f>
        <v/>
      </c>
      <c r="BD24" s="57">
        <f>IF(T24=0,0,IF(18=CARTÕES!$F24,CARTÕES!$E24-(CARTÕES!$F24-1)*ROUND(CARTÕES!$E24/CARTÕES!$F24,0),ROUND(CARTÕES!$E24/CARTÕES!$F24,0)))</f>
        <v/>
      </c>
      <c r="BE24" s="57">
        <f>IF(U24=0,0,IF(19=CARTÕES!$F24,CARTÕES!$E24-(CARTÕES!$F24-1)*ROUND(CARTÕES!$E24/CARTÕES!$F24,0),ROUND(CARTÕES!$E24/CARTÕES!$F24,0)))</f>
        <v/>
      </c>
      <c r="BF24" s="57">
        <f>IF(V24=0,0,IF(20=CARTÕES!$F24,CARTÕES!$E24-(CARTÕES!$F24-1)*ROUND(CARTÕES!$E24/CARTÕES!$F24,0),ROUND(CARTÕES!$E24/CARTÕES!$F24,0)))</f>
        <v/>
      </c>
      <c r="BG24" s="57">
        <f>IF(W24=0,0,IF(21=CARTÕES!$F24,CARTÕES!$E24-(CARTÕES!$F24-1)*ROUND(CARTÕES!$E24/CARTÕES!$F24,0),ROUND(CARTÕES!$E24/CARTÕES!$F24,0)))</f>
        <v/>
      </c>
      <c r="BH24" s="57">
        <f>IF(X24=0,0,IF(22=CARTÕES!$F24,CARTÕES!$E24-(CARTÕES!$F24-1)*ROUND(CARTÕES!$E24/CARTÕES!$F24,0),ROUND(CARTÕES!$E24/CARTÕES!$F24,0)))</f>
        <v/>
      </c>
      <c r="BI24" s="57">
        <f>IF(Y24=0,0,IF(23=CARTÕES!$F24,CARTÕES!$E24-(CARTÕES!$F24-1)*ROUND(CARTÕES!$E24/CARTÕES!$F24,0),ROUND(CARTÕES!$E24/CARTÕES!$F24,0)))</f>
        <v/>
      </c>
      <c r="BJ24" s="57">
        <f>IF(Z24=0,0,IF(24=CARTÕES!$F24,CARTÕES!$E24-(CARTÕES!$F24-1)*ROUND(CARTÕES!$E24/CARTÕES!$F24,0),ROUND(CARTÕES!$E24/CARTÕES!$F24,0)))</f>
        <v/>
      </c>
      <c r="BK24" s="57">
        <f>IF(AA24=0,0,IF(25=CARTÕES!$F24,CARTÕES!$E24-(CARTÕES!$F24-1)*ROUND(CARTÕES!$E24/CARTÕES!$F24,0),ROUND(CARTÕES!$E24/CARTÕES!$F24,0)))</f>
        <v/>
      </c>
      <c r="BL24" s="57">
        <f>IF(AB24=0,0,IF(26=CARTÕES!$F24,CARTÕES!$E24-(CARTÕES!$F24-1)*ROUND(CARTÕES!$E24/CARTÕES!$F24,0),ROUND(CARTÕES!$E24/CARTÕES!$F24,0)))</f>
        <v/>
      </c>
      <c r="BM24" s="57">
        <f>IF(AC24=0,0,IF(27=CARTÕES!$F24,CARTÕES!$E24-(CARTÕES!$F24-1)*ROUND(CARTÕES!$E24/CARTÕES!$F24,0),ROUND(CARTÕES!$E24/CARTÕES!$F24,0)))</f>
        <v/>
      </c>
      <c r="BN24" s="57">
        <f>IF(AD24=0,0,IF(28=CARTÕES!$F24,CARTÕES!$E24-(CARTÕES!$F24-1)*ROUND(CARTÕES!$E24/CARTÕES!$F24,0),ROUND(CARTÕES!$E24/CARTÕES!$F24,0)))</f>
        <v/>
      </c>
      <c r="BO24" s="57">
        <f>IF(AE24=0,0,IF(29=CARTÕES!$F24,CARTÕES!$E24-(CARTÕES!$F24-1)*ROUND(CARTÕES!$E24/CARTÕES!$F24,0),ROUND(CARTÕES!$E24/CARTÕES!$F24,0)))</f>
        <v/>
      </c>
      <c r="BP24" s="57">
        <f>IF(AF24=0,0,IF(30=CARTÕES!$F24,CARTÕES!$E24-(CARTÕES!$F24-1)*ROUND(CARTÕES!$E24/CARTÕES!$F24,0),ROUND(CARTÕES!$E24/CARTÕES!$F24,0)))</f>
        <v/>
      </c>
      <c r="BQ24" s="57">
        <f>IF(AG24=0,0,IF(31=CARTÕES!$F24,CARTÕES!$E24-(CARTÕES!$F24-1)*ROUND(CARTÕES!$E24/CARTÕES!$F24,0),ROUND(CARTÕES!$E24/CARTÕES!$F24,0)))</f>
        <v/>
      </c>
      <c r="BR24" s="57">
        <f>IF(AH24=0,0,IF(32=CARTÕES!$F24,CARTÕES!$E24-(CARTÕES!$F24-1)*ROUND(CARTÕES!$E24/CARTÕES!$F24,0),ROUND(CARTÕES!$E24/CARTÕES!$F24,0)))</f>
        <v/>
      </c>
      <c r="BS24" s="57">
        <f>IF(AI24=0,0,IF(33=CARTÕES!$F24,CARTÕES!$E24-(CARTÕES!$F24-1)*ROUND(CARTÕES!$E24/CARTÕES!$F24,0),ROUND(CARTÕES!$E24/CARTÕES!$F24,0)))</f>
        <v/>
      </c>
      <c r="BT24" s="57">
        <f>IF(AJ24=0,0,IF(34=CARTÕES!$F24,CARTÕES!$E24-(CARTÕES!$F24-1)*ROUND(CARTÕES!$E24/CARTÕES!$F24,0),ROUND(CARTÕES!$E24/CARTÕES!$F24,0)))</f>
        <v/>
      </c>
      <c r="BU24" s="57">
        <f>IF(AK24=0,0,IF(35=CARTÕES!$F24,CARTÕES!$E24-(CARTÕES!$F24-1)*ROUND(CARTÕES!$E24/CARTÕES!$F24,0),ROUND(CARTÕES!$E24/CARTÕES!$F24,0)))</f>
        <v/>
      </c>
      <c r="BV24" s="57">
        <f>IF(AL24=0,0,IF(36=CARTÕES!$F24,CARTÕES!$E24-(CARTÕES!$F24-1)*ROUND(CARTÕES!$E24/CARTÕES!$F24,0),ROUND(CARTÕES!$E24/CARTÕES!$F24,0)))</f>
        <v/>
      </c>
    </row>
    <row r="25">
      <c r="A25" s="55">
        <f>IF(CARTÕES!$C25="","",CARTÕES!$C25)</f>
        <v/>
      </c>
      <c r="B25" s="56">
        <f>SUMPRODUCT((C25:AL25='RESUMO MENSAL'!$C$4)*AM25:BV25)</f>
        <v/>
      </c>
      <c r="C25" s="57">
        <f>IF(OR(CARTÕES!$K25=0,CARTÕES!$F25=""),0,IF(1&gt;CARTÕES!$F25,0,CARTÕES!$K25+1-1))</f>
        <v/>
      </c>
      <c r="D25" s="57">
        <f>IF(OR(CARTÕES!$K25=0,CARTÕES!$F25=""),0,IF(2&gt;CARTÕES!$F25,0,CARTÕES!$K25+2-1))</f>
        <v/>
      </c>
      <c r="E25" s="57">
        <f>IF(OR(CARTÕES!$K25=0,CARTÕES!$F25=""),0,IF(3&gt;CARTÕES!$F25,0,CARTÕES!$K25+3-1))</f>
        <v/>
      </c>
      <c r="F25" s="57">
        <f>IF(OR(CARTÕES!$K25=0,CARTÕES!$F25=""),0,IF(4&gt;CARTÕES!$F25,0,CARTÕES!$K25+4-1))</f>
        <v/>
      </c>
      <c r="G25" s="57">
        <f>IF(OR(CARTÕES!$K25=0,CARTÕES!$F25=""),0,IF(5&gt;CARTÕES!$F25,0,CARTÕES!$K25+5-1))</f>
        <v/>
      </c>
      <c r="H25" s="57">
        <f>IF(OR(CARTÕES!$K25=0,CARTÕES!$F25=""),0,IF(6&gt;CARTÕES!$F25,0,CARTÕES!$K25+6-1))</f>
        <v/>
      </c>
      <c r="I25" s="57">
        <f>IF(OR(CARTÕES!$K25=0,CARTÕES!$F25=""),0,IF(7&gt;CARTÕES!$F25,0,CARTÕES!$K25+7-1))</f>
        <v/>
      </c>
      <c r="J25" s="57">
        <f>IF(OR(CARTÕES!$K25=0,CARTÕES!$F25=""),0,IF(8&gt;CARTÕES!$F25,0,CARTÕES!$K25+8-1))</f>
        <v/>
      </c>
      <c r="K25" s="57">
        <f>IF(OR(CARTÕES!$K25=0,CARTÕES!$F25=""),0,IF(9&gt;CARTÕES!$F25,0,CARTÕES!$K25+9-1))</f>
        <v/>
      </c>
      <c r="L25" s="57">
        <f>IF(OR(CARTÕES!$K25=0,CARTÕES!$F25=""),0,IF(10&gt;CARTÕES!$F25,0,CARTÕES!$K25+10-1))</f>
        <v/>
      </c>
      <c r="M25" s="57">
        <f>IF(OR(CARTÕES!$K25=0,CARTÕES!$F25=""),0,IF(11&gt;CARTÕES!$F25,0,CARTÕES!$K25+11-1))</f>
        <v/>
      </c>
      <c r="N25" s="57">
        <f>IF(OR(CARTÕES!$K25=0,CARTÕES!$F25=""),0,IF(12&gt;CARTÕES!$F25,0,CARTÕES!$K25+12-1))</f>
        <v/>
      </c>
      <c r="O25" s="57">
        <f>IF(OR(CARTÕES!$K25=0,CARTÕES!$F25=""),0,IF(13&gt;CARTÕES!$F25,0,CARTÕES!$K25+13-1))</f>
        <v/>
      </c>
      <c r="P25" s="57">
        <f>IF(OR(CARTÕES!$K25=0,CARTÕES!$F25=""),0,IF(14&gt;CARTÕES!$F25,0,CARTÕES!$K25+14-1))</f>
        <v/>
      </c>
      <c r="Q25" s="57">
        <f>IF(OR(CARTÕES!$K25=0,CARTÕES!$F25=""),0,IF(15&gt;CARTÕES!$F25,0,CARTÕES!$K25+15-1))</f>
        <v/>
      </c>
      <c r="R25" s="57">
        <f>IF(OR(CARTÕES!$K25=0,CARTÕES!$F25=""),0,IF(16&gt;CARTÕES!$F25,0,CARTÕES!$K25+16-1))</f>
        <v/>
      </c>
      <c r="S25" s="57">
        <f>IF(OR(CARTÕES!$K25=0,CARTÕES!$F25=""),0,IF(17&gt;CARTÕES!$F25,0,CARTÕES!$K25+17-1))</f>
        <v/>
      </c>
      <c r="T25" s="57">
        <f>IF(OR(CARTÕES!$K25=0,CARTÕES!$F25=""),0,IF(18&gt;CARTÕES!$F25,0,CARTÕES!$K25+18-1))</f>
        <v/>
      </c>
      <c r="U25" s="57">
        <f>IF(OR(CARTÕES!$K25=0,CARTÕES!$F25=""),0,IF(19&gt;CARTÕES!$F25,0,CARTÕES!$K25+19-1))</f>
        <v/>
      </c>
      <c r="V25" s="57">
        <f>IF(OR(CARTÕES!$K25=0,CARTÕES!$F25=""),0,IF(20&gt;CARTÕES!$F25,0,CARTÕES!$K25+20-1))</f>
        <v/>
      </c>
      <c r="W25" s="57">
        <f>IF(OR(CARTÕES!$K25=0,CARTÕES!$F25=""),0,IF(21&gt;CARTÕES!$F25,0,CARTÕES!$K25+21-1))</f>
        <v/>
      </c>
      <c r="X25" s="57">
        <f>IF(OR(CARTÕES!$K25=0,CARTÕES!$F25=""),0,IF(22&gt;CARTÕES!$F25,0,CARTÕES!$K25+22-1))</f>
        <v/>
      </c>
      <c r="Y25" s="57">
        <f>IF(OR(CARTÕES!$K25=0,CARTÕES!$F25=""),0,IF(23&gt;CARTÕES!$F25,0,CARTÕES!$K25+23-1))</f>
        <v/>
      </c>
      <c r="Z25" s="57">
        <f>IF(OR(CARTÕES!$K25=0,CARTÕES!$F25=""),0,IF(24&gt;CARTÕES!$F25,0,CARTÕES!$K25+24-1))</f>
        <v/>
      </c>
      <c r="AA25" s="57">
        <f>IF(OR(CARTÕES!$K25=0,CARTÕES!$F25=""),0,IF(25&gt;CARTÕES!$F25,0,CARTÕES!$K25+25-1))</f>
        <v/>
      </c>
      <c r="AB25" s="57">
        <f>IF(OR(CARTÕES!$K25=0,CARTÕES!$F25=""),0,IF(26&gt;CARTÕES!$F25,0,CARTÕES!$K25+26-1))</f>
        <v/>
      </c>
      <c r="AC25" s="57">
        <f>IF(OR(CARTÕES!$K25=0,CARTÕES!$F25=""),0,IF(27&gt;CARTÕES!$F25,0,CARTÕES!$K25+27-1))</f>
        <v/>
      </c>
      <c r="AD25" s="57">
        <f>IF(OR(CARTÕES!$K25=0,CARTÕES!$F25=""),0,IF(28&gt;CARTÕES!$F25,0,CARTÕES!$K25+28-1))</f>
        <v/>
      </c>
      <c r="AE25" s="57">
        <f>IF(OR(CARTÕES!$K25=0,CARTÕES!$F25=""),0,IF(29&gt;CARTÕES!$F25,0,CARTÕES!$K25+29-1))</f>
        <v/>
      </c>
      <c r="AF25" s="57">
        <f>IF(OR(CARTÕES!$K25=0,CARTÕES!$F25=""),0,IF(30&gt;CARTÕES!$F25,0,CARTÕES!$K25+30-1))</f>
        <v/>
      </c>
      <c r="AG25" s="57">
        <f>IF(OR(CARTÕES!$K25=0,CARTÕES!$F25=""),0,IF(31&gt;CARTÕES!$F25,0,CARTÕES!$K25+31-1))</f>
        <v/>
      </c>
      <c r="AH25" s="57">
        <f>IF(OR(CARTÕES!$K25=0,CARTÕES!$F25=""),0,IF(32&gt;CARTÕES!$F25,0,CARTÕES!$K25+32-1))</f>
        <v/>
      </c>
      <c r="AI25" s="57">
        <f>IF(OR(CARTÕES!$K25=0,CARTÕES!$F25=""),0,IF(33&gt;CARTÕES!$F25,0,CARTÕES!$K25+33-1))</f>
        <v/>
      </c>
      <c r="AJ25" s="57">
        <f>IF(OR(CARTÕES!$K25=0,CARTÕES!$F25=""),0,IF(34&gt;CARTÕES!$F25,0,CARTÕES!$K25+34-1))</f>
        <v/>
      </c>
      <c r="AK25" s="57">
        <f>IF(OR(CARTÕES!$K25=0,CARTÕES!$F25=""),0,IF(35&gt;CARTÕES!$F25,0,CARTÕES!$K25+35-1))</f>
        <v/>
      </c>
      <c r="AL25" s="57">
        <f>IF(OR(CARTÕES!$K25=0,CARTÕES!$F25=""),0,IF(36&gt;CARTÕES!$F25,0,CARTÕES!$K25+36-1))</f>
        <v/>
      </c>
      <c r="AM25" s="57">
        <f>IF(C25=0,0,IF(1=CARTÕES!$F25,CARTÕES!$E25-(CARTÕES!$F25-1)*ROUND(CARTÕES!$E25/CARTÕES!$F25,0),ROUND(CARTÕES!$E25/CARTÕES!$F25,0)))</f>
        <v/>
      </c>
      <c r="AN25" s="57">
        <f>IF(D25=0,0,IF(2=CARTÕES!$F25,CARTÕES!$E25-(CARTÕES!$F25-1)*ROUND(CARTÕES!$E25/CARTÕES!$F25,0),ROUND(CARTÕES!$E25/CARTÕES!$F25,0)))</f>
        <v/>
      </c>
      <c r="AO25" s="57">
        <f>IF(E25=0,0,IF(3=CARTÕES!$F25,CARTÕES!$E25-(CARTÕES!$F25-1)*ROUND(CARTÕES!$E25/CARTÕES!$F25,0),ROUND(CARTÕES!$E25/CARTÕES!$F25,0)))</f>
        <v/>
      </c>
      <c r="AP25" s="57">
        <f>IF(F25=0,0,IF(4=CARTÕES!$F25,CARTÕES!$E25-(CARTÕES!$F25-1)*ROUND(CARTÕES!$E25/CARTÕES!$F25,0),ROUND(CARTÕES!$E25/CARTÕES!$F25,0)))</f>
        <v/>
      </c>
      <c r="AQ25" s="57">
        <f>IF(G25=0,0,IF(5=CARTÕES!$F25,CARTÕES!$E25-(CARTÕES!$F25-1)*ROUND(CARTÕES!$E25/CARTÕES!$F25,0),ROUND(CARTÕES!$E25/CARTÕES!$F25,0)))</f>
        <v/>
      </c>
      <c r="AR25" s="57">
        <f>IF(H25=0,0,IF(6=CARTÕES!$F25,CARTÕES!$E25-(CARTÕES!$F25-1)*ROUND(CARTÕES!$E25/CARTÕES!$F25,0),ROUND(CARTÕES!$E25/CARTÕES!$F25,0)))</f>
        <v/>
      </c>
      <c r="AS25" s="57">
        <f>IF(I25=0,0,IF(7=CARTÕES!$F25,CARTÕES!$E25-(CARTÕES!$F25-1)*ROUND(CARTÕES!$E25/CARTÕES!$F25,0),ROUND(CARTÕES!$E25/CARTÕES!$F25,0)))</f>
        <v/>
      </c>
      <c r="AT25" s="57">
        <f>IF(J25=0,0,IF(8=CARTÕES!$F25,CARTÕES!$E25-(CARTÕES!$F25-1)*ROUND(CARTÕES!$E25/CARTÕES!$F25,0),ROUND(CARTÕES!$E25/CARTÕES!$F25,0)))</f>
        <v/>
      </c>
      <c r="AU25" s="57">
        <f>IF(K25=0,0,IF(9=CARTÕES!$F25,CARTÕES!$E25-(CARTÕES!$F25-1)*ROUND(CARTÕES!$E25/CARTÕES!$F25,0),ROUND(CARTÕES!$E25/CARTÕES!$F25,0)))</f>
        <v/>
      </c>
      <c r="AV25" s="57">
        <f>IF(L25=0,0,IF(10=CARTÕES!$F25,CARTÕES!$E25-(CARTÕES!$F25-1)*ROUND(CARTÕES!$E25/CARTÕES!$F25,0),ROUND(CARTÕES!$E25/CARTÕES!$F25,0)))</f>
        <v/>
      </c>
      <c r="AW25" s="57">
        <f>IF(M25=0,0,IF(11=CARTÕES!$F25,CARTÕES!$E25-(CARTÕES!$F25-1)*ROUND(CARTÕES!$E25/CARTÕES!$F25,0),ROUND(CARTÕES!$E25/CARTÕES!$F25,0)))</f>
        <v/>
      </c>
      <c r="AX25" s="57">
        <f>IF(N25=0,0,IF(12=CARTÕES!$F25,CARTÕES!$E25-(CARTÕES!$F25-1)*ROUND(CARTÕES!$E25/CARTÕES!$F25,0),ROUND(CARTÕES!$E25/CARTÕES!$F25,0)))</f>
        <v/>
      </c>
      <c r="AY25" s="57">
        <f>IF(O25=0,0,IF(13=CARTÕES!$F25,CARTÕES!$E25-(CARTÕES!$F25-1)*ROUND(CARTÕES!$E25/CARTÕES!$F25,0),ROUND(CARTÕES!$E25/CARTÕES!$F25,0)))</f>
        <v/>
      </c>
      <c r="AZ25" s="57">
        <f>IF(P25=0,0,IF(14=CARTÕES!$F25,CARTÕES!$E25-(CARTÕES!$F25-1)*ROUND(CARTÕES!$E25/CARTÕES!$F25,0),ROUND(CARTÕES!$E25/CARTÕES!$F25,0)))</f>
        <v/>
      </c>
      <c r="BA25" s="57">
        <f>IF(Q25=0,0,IF(15=CARTÕES!$F25,CARTÕES!$E25-(CARTÕES!$F25-1)*ROUND(CARTÕES!$E25/CARTÕES!$F25,0),ROUND(CARTÕES!$E25/CARTÕES!$F25,0)))</f>
        <v/>
      </c>
      <c r="BB25" s="57">
        <f>IF(R25=0,0,IF(16=CARTÕES!$F25,CARTÕES!$E25-(CARTÕES!$F25-1)*ROUND(CARTÕES!$E25/CARTÕES!$F25,0),ROUND(CARTÕES!$E25/CARTÕES!$F25,0)))</f>
        <v/>
      </c>
      <c r="BC25" s="57">
        <f>IF(S25=0,0,IF(17=CARTÕES!$F25,CARTÕES!$E25-(CARTÕES!$F25-1)*ROUND(CARTÕES!$E25/CARTÕES!$F25,0),ROUND(CARTÕES!$E25/CARTÕES!$F25,0)))</f>
        <v/>
      </c>
      <c r="BD25" s="57">
        <f>IF(T25=0,0,IF(18=CARTÕES!$F25,CARTÕES!$E25-(CARTÕES!$F25-1)*ROUND(CARTÕES!$E25/CARTÕES!$F25,0),ROUND(CARTÕES!$E25/CARTÕES!$F25,0)))</f>
        <v/>
      </c>
      <c r="BE25" s="57">
        <f>IF(U25=0,0,IF(19=CARTÕES!$F25,CARTÕES!$E25-(CARTÕES!$F25-1)*ROUND(CARTÕES!$E25/CARTÕES!$F25,0),ROUND(CARTÕES!$E25/CARTÕES!$F25,0)))</f>
        <v/>
      </c>
      <c r="BF25" s="57">
        <f>IF(V25=0,0,IF(20=CARTÕES!$F25,CARTÕES!$E25-(CARTÕES!$F25-1)*ROUND(CARTÕES!$E25/CARTÕES!$F25,0),ROUND(CARTÕES!$E25/CARTÕES!$F25,0)))</f>
        <v/>
      </c>
      <c r="BG25" s="57">
        <f>IF(W25=0,0,IF(21=CARTÕES!$F25,CARTÕES!$E25-(CARTÕES!$F25-1)*ROUND(CARTÕES!$E25/CARTÕES!$F25,0),ROUND(CARTÕES!$E25/CARTÕES!$F25,0)))</f>
        <v/>
      </c>
      <c r="BH25" s="57">
        <f>IF(X25=0,0,IF(22=CARTÕES!$F25,CARTÕES!$E25-(CARTÕES!$F25-1)*ROUND(CARTÕES!$E25/CARTÕES!$F25,0),ROUND(CARTÕES!$E25/CARTÕES!$F25,0)))</f>
        <v/>
      </c>
      <c r="BI25" s="57">
        <f>IF(Y25=0,0,IF(23=CARTÕES!$F25,CARTÕES!$E25-(CARTÕES!$F25-1)*ROUND(CARTÕES!$E25/CARTÕES!$F25,0),ROUND(CARTÕES!$E25/CARTÕES!$F25,0)))</f>
        <v/>
      </c>
      <c r="BJ25" s="57">
        <f>IF(Z25=0,0,IF(24=CARTÕES!$F25,CARTÕES!$E25-(CARTÕES!$F25-1)*ROUND(CARTÕES!$E25/CARTÕES!$F25,0),ROUND(CARTÕES!$E25/CARTÕES!$F25,0)))</f>
        <v/>
      </c>
      <c r="BK25" s="57">
        <f>IF(AA25=0,0,IF(25=CARTÕES!$F25,CARTÕES!$E25-(CARTÕES!$F25-1)*ROUND(CARTÕES!$E25/CARTÕES!$F25,0),ROUND(CARTÕES!$E25/CARTÕES!$F25,0)))</f>
        <v/>
      </c>
      <c r="BL25" s="57">
        <f>IF(AB25=0,0,IF(26=CARTÕES!$F25,CARTÕES!$E25-(CARTÕES!$F25-1)*ROUND(CARTÕES!$E25/CARTÕES!$F25,0),ROUND(CARTÕES!$E25/CARTÕES!$F25,0)))</f>
        <v/>
      </c>
      <c r="BM25" s="57">
        <f>IF(AC25=0,0,IF(27=CARTÕES!$F25,CARTÕES!$E25-(CARTÕES!$F25-1)*ROUND(CARTÕES!$E25/CARTÕES!$F25,0),ROUND(CARTÕES!$E25/CARTÕES!$F25,0)))</f>
        <v/>
      </c>
      <c r="BN25" s="57">
        <f>IF(AD25=0,0,IF(28=CARTÕES!$F25,CARTÕES!$E25-(CARTÕES!$F25-1)*ROUND(CARTÕES!$E25/CARTÕES!$F25,0),ROUND(CARTÕES!$E25/CARTÕES!$F25,0)))</f>
        <v/>
      </c>
      <c r="BO25" s="57">
        <f>IF(AE25=0,0,IF(29=CARTÕES!$F25,CARTÕES!$E25-(CARTÕES!$F25-1)*ROUND(CARTÕES!$E25/CARTÕES!$F25,0),ROUND(CARTÕES!$E25/CARTÕES!$F25,0)))</f>
        <v/>
      </c>
      <c r="BP25" s="57">
        <f>IF(AF25=0,0,IF(30=CARTÕES!$F25,CARTÕES!$E25-(CARTÕES!$F25-1)*ROUND(CARTÕES!$E25/CARTÕES!$F25,0),ROUND(CARTÕES!$E25/CARTÕES!$F25,0)))</f>
        <v/>
      </c>
      <c r="BQ25" s="57">
        <f>IF(AG25=0,0,IF(31=CARTÕES!$F25,CARTÕES!$E25-(CARTÕES!$F25-1)*ROUND(CARTÕES!$E25/CARTÕES!$F25,0),ROUND(CARTÕES!$E25/CARTÕES!$F25,0)))</f>
        <v/>
      </c>
      <c r="BR25" s="57">
        <f>IF(AH25=0,0,IF(32=CARTÕES!$F25,CARTÕES!$E25-(CARTÕES!$F25-1)*ROUND(CARTÕES!$E25/CARTÕES!$F25,0),ROUND(CARTÕES!$E25/CARTÕES!$F25,0)))</f>
        <v/>
      </c>
      <c r="BS25" s="57">
        <f>IF(AI25=0,0,IF(33=CARTÕES!$F25,CARTÕES!$E25-(CARTÕES!$F25-1)*ROUND(CARTÕES!$E25/CARTÕES!$F25,0),ROUND(CARTÕES!$E25/CARTÕES!$F25,0)))</f>
        <v/>
      </c>
      <c r="BT25" s="57">
        <f>IF(AJ25=0,0,IF(34=CARTÕES!$F25,CARTÕES!$E25-(CARTÕES!$F25-1)*ROUND(CARTÕES!$E25/CARTÕES!$F25,0),ROUND(CARTÕES!$E25/CARTÕES!$F25,0)))</f>
        <v/>
      </c>
      <c r="BU25" s="57">
        <f>IF(AK25=0,0,IF(35=CARTÕES!$F25,CARTÕES!$E25-(CARTÕES!$F25-1)*ROUND(CARTÕES!$E25/CARTÕES!$F25,0),ROUND(CARTÕES!$E25/CARTÕES!$F25,0)))</f>
        <v/>
      </c>
      <c r="BV25" s="57">
        <f>IF(AL25=0,0,IF(36=CARTÕES!$F25,CARTÕES!$E25-(CARTÕES!$F25-1)*ROUND(CARTÕES!$E25/CARTÕES!$F25,0),ROUND(CARTÕES!$E25/CARTÕES!$F25,0)))</f>
        <v/>
      </c>
    </row>
    <row r="26">
      <c r="A26" s="55">
        <f>IF(CARTÕES!$C26="","",CARTÕES!$C26)</f>
        <v/>
      </c>
      <c r="B26" s="56">
        <f>SUMPRODUCT((C26:AL26='RESUMO MENSAL'!$C$4)*AM26:BV26)</f>
        <v/>
      </c>
      <c r="C26" s="57">
        <f>IF(OR(CARTÕES!$K26=0,CARTÕES!$F26=""),0,IF(1&gt;CARTÕES!$F26,0,CARTÕES!$K26+1-1))</f>
        <v/>
      </c>
      <c r="D26" s="57">
        <f>IF(OR(CARTÕES!$K26=0,CARTÕES!$F26=""),0,IF(2&gt;CARTÕES!$F26,0,CARTÕES!$K26+2-1))</f>
        <v/>
      </c>
      <c r="E26" s="57">
        <f>IF(OR(CARTÕES!$K26=0,CARTÕES!$F26=""),0,IF(3&gt;CARTÕES!$F26,0,CARTÕES!$K26+3-1))</f>
        <v/>
      </c>
      <c r="F26" s="57">
        <f>IF(OR(CARTÕES!$K26=0,CARTÕES!$F26=""),0,IF(4&gt;CARTÕES!$F26,0,CARTÕES!$K26+4-1))</f>
        <v/>
      </c>
      <c r="G26" s="57">
        <f>IF(OR(CARTÕES!$K26=0,CARTÕES!$F26=""),0,IF(5&gt;CARTÕES!$F26,0,CARTÕES!$K26+5-1))</f>
        <v/>
      </c>
      <c r="H26" s="57">
        <f>IF(OR(CARTÕES!$K26=0,CARTÕES!$F26=""),0,IF(6&gt;CARTÕES!$F26,0,CARTÕES!$K26+6-1))</f>
        <v/>
      </c>
      <c r="I26" s="57">
        <f>IF(OR(CARTÕES!$K26=0,CARTÕES!$F26=""),0,IF(7&gt;CARTÕES!$F26,0,CARTÕES!$K26+7-1))</f>
        <v/>
      </c>
      <c r="J26" s="57">
        <f>IF(OR(CARTÕES!$K26=0,CARTÕES!$F26=""),0,IF(8&gt;CARTÕES!$F26,0,CARTÕES!$K26+8-1))</f>
        <v/>
      </c>
      <c r="K26" s="57">
        <f>IF(OR(CARTÕES!$K26=0,CARTÕES!$F26=""),0,IF(9&gt;CARTÕES!$F26,0,CARTÕES!$K26+9-1))</f>
        <v/>
      </c>
      <c r="L26" s="57">
        <f>IF(OR(CARTÕES!$K26=0,CARTÕES!$F26=""),0,IF(10&gt;CARTÕES!$F26,0,CARTÕES!$K26+10-1))</f>
        <v/>
      </c>
      <c r="M26" s="57">
        <f>IF(OR(CARTÕES!$K26=0,CARTÕES!$F26=""),0,IF(11&gt;CARTÕES!$F26,0,CARTÕES!$K26+11-1))</f>
        <v/>
      </c>
      <c r="N26" s="57">
        <f>IF(OR(CARTÕES!$K26=0,CARTÕES!$F26=""),0,IF(12&gt;CARTÕES!$F26,0,CARTÕES!$K26+12-1))</f>
        <v/>
      </c>
      <c r="O26" s="57">
        <f>IF(OR(CARTÕES!$K26=0,CARTÕES!$F26=""),0,IF(13&gt;CARTÕES!$F26,0,CARTÕES!$K26+13-1))</f>
        <v/>
      </c>
      <c r="P26" s="57">
        <f>IF(OR(CARTÕES!$K26=0,CARTÕES!$F26=""),0,IF(14&gt;CARTÕES!$F26,0,CARTÕES!$K26+14-1))</f>
        <v/>
      </c>
      <c r="Q26" s="57">
        <f>IF(OR(CARTÕES!$K26=0,CARTÕES!$F26=""),0,IF(15&gt;CARTÕES!$F26,0,CARTÕES!$K26+15-1))</f>
        <v/>
      </c>
      <c r="R26" s="57">
        <f>IF(OR(CARTÕES!$K26=0,CARTÕES!$F26=""),0,IF(16&gt;CARTÕES!$F26,0,CARTÕES!$K26+16-1))</f>
        <v/>
      </c>
      <c r="S26" s="57">
        <f>IF(OR(CARTÕES!$K26=0,CARTÕES!$F26=""),0,IF(17&gt;CARTÕES!$F26,0,CARTÕES!$K26+17-1))</f>
        <v/>
      </c>
      <c r="T26" s="57">
        <f>IF(OR(CARTÕES!$K26=0,CARTÕES!$F26=""),0,IF(18&gt;CARTÕES!$F26,0,CARTÕES!$K26+18-1))</f>
        <v/>
      </c>
      <c r="U26" s="57">
        <f>IF(OR(CARTÕES!$K26=0,CARTÕES!$F26=""),0,IF(19&gt;CARTÕES!$F26,0,CARTÕES!$K26+19-1))</f>
        <v/>
      </c>
      <c r="V26" s="57">
        <f>IF(OR(CARTÕES!$K26=0,CARTÕES!$F26=""),0,IF(20&gt;CARTÕES!$F26,0,CARTÕES!$K26+20-1))</f>
        <v/>
      </c>
      <c r="W26" s="57">
        <f>IF(OR(CARTÕES!$K26=0,CARTÕES!$F26=""),0,IF(21&gt;CARTÕES!$F26,0,CARTÕES!$K26+21-1))</f>
        <v/>
      </c>
      <c r="X26" s="57">
        <f>IF(OR(CARTÕES!$K26=0,CARTÕES!$F26=""),0,IF(22&gt;CARTÕES!$F26,0,CARTÕES!$K26+22-1))</f>
        <v/>
      </c>
      <c r="Y26" s="57">
        <f>IF(OR(CARTÕES!$K26=0,CARTÕES!$F26=""),0,IF(23&gt;CARTÕES!$F26,0,CARTÕES!$K26+23-1))</f>
        <v/>
      </c>
      <c r="Z26" s="57">
        <f>IF(OR(CARTÕES!$K26=0,CARTÕES!$F26=""),0,IF(24&gt;CARTÕES!$F26,0,CARTÕES!$K26+24-1))</f>
        <v/>
      </c>
      <c r="AA26" s="57">
        <f>IF(OR(CARTÕES!$K26=0,CARTÕES!$F26=""),0,IF(25&gt;CARTÕES!$F26,0,CARTÕES!$K26+25-1))</f>
        <v/>
      </c>
      <c r="AB26" s="57">
        <f>IF(OR(CARTÕES!$K26=0,CARTÕES!$F26=""),0,IF(26&gt;CARTÕES!$F26,0,CARTÕES!$K26+26-1))</f>
        <v/>
      </c>
      <c r="AC26" s="57">
        <f>IF(OR(CARTÕES!$K26=0,CARTÕES!$F26=""),0,IF(27&gt;CARTÕES!$F26,0,CARTÕES!$K26+27-1))</f>
        <v/>
      </c>
      <c r="AD26" s="57">
        <f>IF(OR(CARTÕES!$K26=0,CARTÕES!$F26=""),0,IF(28&gt;CARTÕES!$F26,0,CARTÕES!$K26+28-1))</f>
        <v/>
      </c>
      <c r="AE26" s="57">
        <f>IF(OR(CARTÕES!$K26=0,CARTÕES!$F26=""),0,IF(29&gt;CARTÕES!$F26,0,CARTÕES!$K26+29-1))</f>
        <v/>
      </c>
      <c r="AF26" s="57">
        <f>IF(OR(CARTÕES!$K26=0,CARTÕES!$F26=""),0,IF(30&gt;CARTÕES!$F26,0,CARTÕES!$K26+30-1))</f>
        <v/>
      </c>
      <c r="AG26" s="57">
        <f>IF(OR(CARTÕES!$K26=0,CARTÕES!$F26=""),0,IF(31&gt;CARTÕES!$F26,0,CARTÕES!$K26+31-1))</f>
        <v/>
      </c>
      <c r="AH26" s="57">
        <f>IF(OR(CARTÕES!$K26=0,CARTÕES!$F26=""),0,IF(32&gt;CARTÕES!$F26,0,CARTÕES!$K26+32-1))</f>
        <v/>
      </c>
      <c r="AI26" s="57">
        <f>IF(OR(CARTÕES!$K26=0,CARTÕES!$F26=""),0,IF(33&gt;CARTÕES!$F26,0,CARTÕES!$K26+33-1))</f>
        <v/>
      </c>
      <c r="AJ26" s="57">
        <f>IF(OR(CARTÕES!$K26=0,CARTÕES!$F26=""),0,IF(34&gt;CARTÕES!$F26,0,CARTÕES!$K26+34-1))</f>
        <v/>
      </c>
      <c r="AK26" s="57">
        <f>IF(OR(CARTÕES!$K26=0,CARTÕES!$F26=""),0,IF(35&gt;CARTÕES!$F26,0,CARTÕES!$K26+35-1))</f>
        <v/>
      </c>
      <c r="AL26" s="57">
        <f>IF(OR(CARTÕES!$K26=0,CARTÕES!$F26=""),0,IF(36&gt;CARTÕES!$F26,0,CARTÕES!$K26+36-1))</f>
        <v/>
      </c>
      <c r="AM26" s="57">
        <f>IF(C26=0,0,IF(1=CARTÕES!$F26,CARTÕES!$E26-(CARTÕES!$F26-1)*ROUND(CARTÕES!$E26/CARTÕES!$F26,0),ROUND(CARTÕES!$E26/CARTÕES!$F26,0)))</f>
        <v/>
      </c>
      <c r="AN26" s="57">
        <f>IF(D26=0,0,IF(2=CARTÕES!$F26,CARTÕES!$E26-(CARTÕES!$F26-1)*ROUND(CARTÕES!$E26/CARTÕES!$F26,0),ROUND(CARTÕES!$E26/CARTÕES!$F26,0)))</f>
        <v/>
      </c>
      <c r="AO26" s="57">
        <f>IF(E26=0,0,IF(3=CARTÕES!$F26,CARTÕES!$E26-(CARTÕES!$F26-1)*ROUND(CARTÕES!$E26/CARTÕES!$F26,0),ROUND(CARTÕES!$E26/CARTÕES!$F26,0)))</f>
        <v/>
      </c>
      <c r="AP26" s="57">
        <f>IF(F26=0,0,IF(4=CARTÕES!$F26,CARTÕES!$E26-(CARTÕES!$F26-1)*ROUND(CARTÕES!$E26/CARTÕES!$F26,0),ROUND(CARTÕES!$E26/CARTÕES!$F26,0)))</f>
        <v/>
      </c>
      <c r="AQ26" s="57">
        <f>IF(G26=0,0,IF(5=CARTÕES!$F26,CARTÕES!$E26-(CARTÕES!$F26-1)*ROUND(CARTÕES!$E26/CARTÕES!$F26,0),ROUND(CARTÕES!$E26/CARTÕES!$F26,0)))</f>
        <v/>
      </c>
      <c r="AR26" s="57">
        <f>IF(H26=0,0,IF(6=CARTÕES!$F26,CARTÕES!$E26-(CARTÕES!$F26-1)*ROUND(CARTÕES!$E26/CARTÕES!$F26,0),ROUND(CARTÕES!$E26/CARTÕES!$F26,0)))</f>
        <v/>
      </c>
      <c r="AS26" s="57">
        <f>IF(I26=0,0,IF(7=CARTÕES!$F26,CARTÕES!$E26-(CARTÕES!$F26-1)*ROUND(CARTÕES!$E26/CARTÕES!$F26,0),ROUND(CARTÕES!$E26/CARTÕES!$F26,0)))</f>
        <v/>
      </c>
      <c r="AT26" s="57">
        <f>IF(J26=0,0,IF(8=CARTÕES!$F26,CARTÕES!$E26-(CARTÕES!$F26-1)*ROUND(CARTÕES!$E26/CARTÕES!$F26,0),ROUND(CARTÕES!$E26/CARTÕES!$F26,0)))</f>
        <v/>
      </c>
      <c r="AU26" s="57">
        <f>IF(K26=0,0,IF(9=CARTÕES!$F26,CARTÕES!$E26-(CARTÕES!$F26-1)*ROUND(CARTÕES!$E26/CARTÕES!$F26,0),ROUND(CARTÕES!$E26/CARTÕES!$F26,0)))</f>
        <v/>
      </c>
      <c r="AV26" s="57">
        <f>IF(L26=0,0,IF(10=CARTÕES!$F26,CARTÕES!$E26-(CARTÕES!$F26-1)*ROUND(CARTÕES!$E26/CARTÕES!$F26,0),ROUND(CARTÕES!$E26/CARTÕES!$F26,0)))</f>
        <v/>
      </c>
      <c r="AW26" s="57">
        <f>IF(M26=0,0,IF(11=CARTÕES!$F26,CARTÕES!$E26-(CARTÕES!$F26-1)*ROUND(CARTÕES!$E26/CARTÕES!$F26,0),ROUND(CARTÕES!$E26/CARTÕES!$F26,0)))</f>
        <v/>
      </c>
      <c r="AX26" s="57">
        <f>IF(N26=0,0,IF(12=CARTÕES!$F26,CARTÕES!$E26-(CARTÕES!$F26-1)*ROUND(CARTÕES!$E26/CARTÕES!$F26,0),ROUND(CARTÕES!$E26/CARTÕES!$F26,0)))</f>
        <v/>
      </c>
      <c r="AY26" s="57">
        <f>IF(O26=0,0,IF(13=CARTÕES!$F26,CARTÕES!$E26-(CARTÕES!$F26-1)*ROUND(CARTÕES!$E26/CARTÕES!$F26,0),ROUND(CARTÕES!$E26/CARTÕES!$F26,0)))</f>
        <v/>
      </c>
      <c r="AZ26" s="57">
        <f>IF(P26=0,0,IF(14=CARTÕES!$F26,CARTÕES!$E26-(CARTÕES!$F26-1)*ROUND(CARTÕES!$E26/CARTÕES!$F26,0),ROUND(CARTÕES!$E26/CARTÕES!$F26,0)))</f>
        <v/>
      </c>
      <c r="BA26" s="57">
        <f>IF(Q26=0,0,IF(15=CARTÕES!$F26,CARTÕES!$E26-(CARTÕES!$F26-1)*ROUND(CARTÕES!$E26/CARTÕES!$F26,0),ROUND(CARTÕES!$E26/CARTÕES!$F26,0)))</f>
        <v/>
      </c>
      <c r="BB26" s="57">
        <f>IF(R26=0,0,IF(16=CARTÕES!$F26,CARTÕES!$E26-(CARTÕES!$F26-1)*ROUND(CARTÕES!$E26/CARTÕES!$F26,0),ROUND(CARTÕES!$E26/CARTÕES!$F26,0)))</f>
        <v/>
      </c>
      <c r="BC26" s="57">
        <f>IF(S26=0,0,IF(17=CARTÕES!$F26,CARTÕES!$E26-(CARTÕES!$F26-1)*ROUND(CARTÕES!$E26/CARTÕES!$F26,0),ROUND(CARTÕES!$E26/CARTÕES!$F26,0)))</f>
        <v/>
      </c>
      <c r="BD26" s="57">
        <f>IF(T26=0,0,IF(18=CARTÕES!$F26,CARTÕES!$E26-(CARTÕES!$F26-1)*ROUND(CARTÕES!$E26/CARTÕES!$F26,0),ROUND(CARTÕES!$E26/CARTÕES!$F26,0)))</f>
        <v/>
      </c>
      <c r="BE26" s="57">
        <f>IF(U26=0,0,IF(19=CARTÕES!$F26,CARTÕES!$E26-(CARTÕES!$F26-1)*ROUND(CARTÕES!$E26/CARTÕES!$F26,0),ROUND(CARTÕES!$E26/CARTÕES!$F26,0)))</f>
        <v/>
      </c>
      <c r="BF26" s="57">
        <f>IF(V26=0,0,IF(20=CARTÕES!$F26,CARTÕES!$E26-(CARTÕES!$F26-1)*ROUND(CARTÕES!$E26/CARTÕES!$F26,0),ROUND(CARTÕES!$E26/CARTÕES!$F26,0)))</f>
        <v/>
      </c>
      <c r="BG26" s="57">
        <f>IF(W26=0,0,IF(21=CARTÕES!$F26,CARTÕES!$E26-(CARTÕES!$F26-1)*ROUND(CARTÕES!$E26/CARTÕES!$F26,0),ROUND(CARTÕES!$E26/CARTÕES!$F26,0)))</f>
        <v/>
      </c>
      <c r="BH26" s="57">
        <f>IF(X26=0,0,IF(22=CARTÕES!$F26,CARTÕES!$E26-(CARTÕES!$F26-1)*ROUND(CARTÕES!$E26/CARTÕES!$F26,0),ROUND(CARTÕES!$E26/CARTÕES!$F26,0)))</f>
        <v/>
      </c>
      <c r="BI26" s="57">
        <f>IF(Y26=0,0,IF(23=CARTÕES!$F26,CARTÕES!$E26-(CARTÕES!$F26-1)*ROUND(CARTÕES!$E26/CARTÕES!$F26,0),ROUND(CARTÕES!$E26/CARTÕES!$F26,0)))</f>
        <v/>
      </c>
      <c r="BJ26" s="57">
        <f>IF(Z26=0,0,IF(24=CARTÕES!$F26,CARTÕES!$E26-(CARTÕES!$F26-1)*ROUND(CARTÕES!$E26/CARTÕES!$F26,0),ROUND(CARTÕES!$E26/CARTÕES!$F26,0)))</f>
        <v/>
      </c>
      <c r="BK26" s="57">
        <f>IF(AA26=0,0,IF(25=CARTÕES!$F26,CARTÕES!$E26-(CARTÕES!$F26-1)*ROUND(CARTÕES!$E26/CARTÕES!$F26,0),ROUND(CARTÕES!$E26/CARTÕES!$F26,0)))</f>
        <v/>
      </c>
      <c r="BL26" s="57">
        <f>IF(AB26=0,0,IF(26=CARTÕES!$F26,CARTÕES!$E26-(CARTÕES!$F26-1)*ROUND(CARTÕES!$E26/CARTÕES!$F26,0),ROUND(CARTÕES!$E26/CARTÕES!$F26,0)))</f>
        <v/>
      </c>
      <c r="BM26" s="57">
        <f>IF(AC26=0,0,IF(27=CARTÕES!$F26,CARTÕES!$E26-(CARTÕES!$F26-1)*ROUND(CARTÕES!$E26/CARTÕES!$F26,0),ROUND(CARTÕES!$E26/CARTÕES!$F26,0)))</f>
        <v/>
      </c>
      <c r="BN26" s="57">
        <f>IF(AD26=0,0,IF(28=CARTÕES!$F26,CARTÕES!$E26-(CARTÕES!$F26-1)*ROUND(CARTÕES!$E26/CARTÕES!$F26,0),ROUND(CARTÕES!$E26/CARTÕES!$F26,0)))</f>
        <v/>
      </c>
      <c r="BO26" s="57">
        <f>IF(AE26=0,0,IF(29=CARTÕES!$F26,CARTÕES!$E26-(CARTÕES!$F26-1)*ROUND(CARTÕES!$E26/CARTÕES!$F26,0),ROUND(CARTÕES!$E26/CARTÕES!$F26,0)))</f>
        <v/>
      </c>
      <c r="BP26" s="57">
        <f>IF(AF26=0,0,IF(30=CARTÕES!$F26,CARTÕES!$E26-(CARTÕES!$F26-1)*ROUND(CARTÕES!$E26/CARTÕES!$F26,0),ROUND(CARTÕES!$E26/CARTÕES!$F26,0)))</f>
        <v/>
      </c>
      <c r="BQ26" s="57">
        <f>IF(AG26=0,0,IF(31=CARTÕES!$F26,CARTÕES!$E26-(CARTÕES!$F26-1)*ROUND(CARTÕES!$E26/CARTÕES!$F26,0),ROUND(CARTÕES!$E26/CARTÕES!$F26,0)))</f>
        <v/>
      </c>
      <c r="BR26" s="57">
        <f>IF(AH26=0,0,IF(32=CARTÕES!$F26,CARTÕES!$E26-(CARTÕES!$F26-1)*ROUND(CARTÕES!$E26/CARTÕES!$F26,0),ROUND(CARTÕES!$E26/CARTÕES!$F26,0)))</f>
        <v/>
      </c>
      <c r="BS26" s="57">
        <f>IF(AI26=0,0,IF(33=CARTÕES!$F26,CARTÕES!$E26-(CARTÕES!$F26-1)*ROUND(CARTÕES!$E26/CARTÕES!$F26,0),ROUND(CARTÕES!$E26/CARTÕES!$F26,0)))</f>
        <v/>
      </c>
      <c r="BT26" s="57">
        <f>IF(AJ26=0,0,IF(34=CARTÕES!$F26,CARTÕES!$E26-(CARTÕES!$F26-1)*ROUND(CARTÕES!$E26/CARTÕES!$F26,0),ROUND(CARTÕES!$E26/CARTÕES!$F26,0)))</f>
        <v/>
      </c>
      <c r="BU26" s="57">
        <f>IF(AK26=0,0,IF(35=CARTÕES!$F26,CARTÕES!$E26-(CARTÕES!$F26-1)*ROUND(CARTÕES!$E26/CARTÕES!$F26,0),ROUND(CARTÕES!$E26/CARTÕES!$F26,0)))</f>
        <v/>
      </c>
      <c r="BV26" s="57">
        <f>IF(AL26=0,0,IF(36=CARTÕES!$F26,CARTÕES!$E26-(CARTÕES!$F26-1)*ROUND(CARTÕES!$E26/CARTÕES!$F26,0),ROUND(CARTÕES!$E26/CARTÕES!$F26,0)))</f>
        <v/>
      </c>
    </row>
    <row r="27">
      <c r="A27" s="55">
        <f>IF(CARTÕES!$C27="","",CARTÕES!$C27)</f>
        <v/>
      </c>
      <c r="B27" s="56">
        <f>SUMPRODUCT((C27:AL27='RESUMO MENSAL'!$C$4)*AM27:BV27)</f>
        <v/>
      </c>
      <c r="C27" s="57">
        <f>IF(OR(CARTÕES!$K27=0,CARTÕES!$F27=""),0,IF(1&gt;CARTÕES!$F27,0,CARTÕES!$K27+1-1))</f>
        <v/>
      </c>
      <c r="D27" s="57">
        <f>IF(OR(CARTÕES!$K27=0,CARTÕES!$F27=""),0,IF(2&gt;CARTÕES!$F27,0,CARTÕES!$K27+2-1))</f>
        <v/>
      </c>
      <c r="E27" s="57">
        <f>IF(OR(CARTÕES!$K27=0,CARTÕES!$F27=""),0,IF(3&gt;CARTÕES!$F27,0,CARTÕES!$K27+3-1))</f>
        <v/>
      </c>
      <c r="F27" s="57">
        <f>IF(OR(CARTÕES!$K27=0,CARTÕES!$F27=""),0,IF(4&gt;CARTÕES!$F27,0,CARTÕES!$K27+4-1))</f>
        <v/>
      </c>
      <c r="G27" s="57">
        <f>IF(OR(CARTÕES!$K27=0,CARTÕES!$F27=""),0,IF(5&gt;CARTÕES!$F27,0,CARTÕES!$K27+5-1))</f>
        <v/>
      </c>
      <c r="H27" s="57">
        <f>IF(OR(CARTÕES!$K27=0,CARTÕES!$F27=""),0,IF(6&gt;CARTÕES!$F27,0,CARTÕES!$K27+6-1))</f>
        <v/>
      </c>
      <c r="I27" s="57">
        <f>IF(OR(CARTÕES!$K27=0,CARTÕES!$F27=""),0,IF(7&gt;CARTÕES!$F27,0,CARTÕES!$K27+7-1))</f>
        <v/>
      </c>
      <c r="J27" s="57">
        <f>IF(OR(CARTÕES!$K27=0,CARTÕES!$F27=""),0,IF(8&gt;CARTÕES!$F27,0,CARTÕES!$K27+8-1))</f>
        <v/>
      </c>
      <c r="K27" s="57">
        <f>IF(OR(CARTÕES!$K27=0,CARTÕES!$F27=""),0,IF(9&gt;CARTÕES!$F27,0,CARTÕES!$K27+9-1))</f>
        <v/>
      </c>
      <c r="L27" s="57">
        <f>IF(OR(CARTÕES!$K27=0,CARTÕES!$F27=""),0,IF(10&gt;CARTÕES!$F27,0,CARTÕES!$K27+10-1))</f>
        <v/>
      </c>
      <c r="M27" s="57">
        <f>IF(OR(CARTÕES!$K27=0,CARTÕES!$F27=""),0,IF(11&gt;CARTÕES!$F27,0,CARTÕES!$K27+11-1))</f>
        <v/>
      </c>
      <c r="N27" s="57">
        <f>IF(OR(CARTÕES!$K27=0,CARTÕES!$F27=""),0,IF(12&gt;CARTÕES!$F27,0,CARTÕES!$K27+12-1))</f>
        <v/>
      </c>
      <c r="O27" s="57">
        <f>IF(OR(CARTÕES!$K27=0,CARTÕES!$F27=""),0,IF(13&gt;CARTÕES!$F27,0,CARTÕES!$K27+13-1))</f>
        <v/>
      </c>
      <c r="P27" s="57">
        <f>IF(OR(CARTÕES!$K27=0,CARTÕES!$F27=""),0,IF(14&gt;CARTÕES!$F27,0,CARTÕES!$K27+14-1))</f>
        <v/>
      </c>
      <c r="Q27" s="57">
        <f>IF(OR(CARTÕES!$K27=0,CARTÕES!$F27=""),0,IF(15&gt;CARTÕES!$F27,0,CARTÕES!$K27+15-1))</f>
        <v/>
      </c>
      <c r="R27" s="57">
        <f>IF(OR(CARTÕES!$K27=0,CARTÕES!$F27=""),0,IF(16&gt;CARTÕES!$F27,0,CARTÕES!$K27+16-1))</f>
        <v/>
      </c>
      <c r="S27" s="57">
        <f>IF(OR(CARTÕES!$K27=0,CARTÕES!$F27=""),0,IF(17&gt;CARTÕES!$F27,0,CARTÕES!$K27+17-1))</f>
        <v/>
      </c>
      <c r="T27" s="57">
        <f>IF(OR(CARTÕES!$K27=0,CARTÕES!$F27=""),0,IF(18&gt;CARTÕES!$F27,0,CARTÕES!$K27+18-1))</f>
        <v/>
      </c>
      <c r="U27" s="57">
        <f>IF(OR(CARTÕES!$K27=0,CARTÕES!$F27=""),0,IF(19&gt;CARTÕES!$F27,0,CARTÕES!$K27+19-1))</f>
        <v/>
      </c>
      <c r="V27" s="57">
        <f>IF(OR(CARTÕES!$K27=0,CARTÕES!$F27=""),0,IF(20&gt;CARTÕES!$F27,0,CARTÕES!$K27+20-1))</f>
        <v/>
      </c>
      <c r="W27" s="57">
        <f>IF(OR(CARTÕES!$K27=0,CARTÕES!$F27=""),0,IF(21&gt;CARTÕES!$F27,0,CARTÕES!$K27+21-1))</f>
        <v/>
      </c>
      <c r="X27" s="57">
        <f>IF(OR(CARTÕES!$K27=0,CARTÕES!$F27=""),0,IF(22&gt;CARTÕES!$F27,0,CARTÕES!$K27+22-1))</f>
        <v/>
      </c>
      <c r="Y27" s="57">
        <f>IF(OR(CARTÕES!$K27=0,CARTÕES!$F27=""),0,IF(23&gt;CARTÕES!$F27,0,CARTÕES!$K27+23-1))</f>
        <v/>
      </c>
      <c r="Z27" s="57">
        <f>IF(OR(CARTÕES!$K27=0,CARTÕES!$F27=""),0,IF(24&gt;CARTÕES!$F27,0,CARTÕES!$K27+24-1))</f>
        <v/>
      </c>
      <c r="AA27" s="57">
        <f>IF(OR(CARTÕES!$K27=0,CARTÕES!$F27=""),0,IF(25&gt;CARTÕES!$F27,0,CARTÕES!$K27+25-1))</f>
        <v/>
      </c>
      <c r="AB27" s="57">
        <f>IF(OR(CARTÕES!$K27=0,CARTÕES!$F27=""),0,IF(26&gt;CARTÕES!$F27,0,CARTÕES!$K27+26-1))</f>
        <v/>
      </c>
      <c r="AC27" s="57">
        <f>IF(OR(CARTÕES!$K27=0,CARTÕES!$F27=""),0,IF(27&gt;CARTÕES!$F27,0,CARTÕES!$K27+27-1))</f>
        <v/>
      </c>
      <c r="AD27" s="57">
        <f>IF(OR(CARTÕES!$K27=0,CARTÕES!$F27=""),0,IF(28&gt;CARTÕES!$F27,0,CARTÕES!$K27+28-1))</f>
        <v/>
      </c>
      <c r="AE27" s="57">
        <f>IF(OR(CARTÕES!$K27=0,CARTÕES!$F27=""),0,IF(29&gt;CARTÕES!$F27,0,CARTÕES!$K27+29-1))</f>
        <v/>
      </c>
      <c r="AF27" s="57">
        <f>IF(OR(CARTÕES!$K27=0,CARTÕES!$F27=""),0,IF(30&gt;CARTÕES!$F27,0,CARTÕES!$K27+30-1))</f>
        <v/>
      </c>
      <c r="AG27" s="57">
        <f>IF(OR(CARTÕES!$K27=0,CARTÕES!$F27=""),0,IF(31&gt;CARTÕES!$F27,0,CARTÕES!$K27+31-1))</f>
        <v/>
      </c>
      <c r="AH27" s="57">
        <f>IF(OR(CARTÕES!$K27=0,CARTÕES!$F27=""),0,IF(32&gt;CARTÕES!$F27,0,CARTÕES!$K27+32-1))</f>
        <v/>
      </c>
      <c r="AI27" s="57">
        <f>IF(OR(CARTÕES!$K27=0,CARTÕES!$F27=""),0,IF(33&gt;CARTÕES!$F27,0,CARTÕES!$K27+33-1))</f>
        <v/>
      </c>
      <c r="AJ27" s="57">
        <f>IF(OR(CARTÕES!$K27=0,CARTÕES!$F27=""),0,IF(34&gt;CARTÕES!$F27,0,CARTÕES!$K27+34-1))</f>
        <v/>
      </c>
      <c r="AK27" s="57">
        <f>IF(OR(CARTÕES!$K27=0,CARTÕES!$F27=""),0,IF(35&gt;CARTÕES!$F27,0,CARTÕES!$K27+35-1))</f>
        <v/>
      </c>
      <c r="AL27" s="57">
        <f>IF(OR(CARTÕES!$K27=0,CARTÕES!$F27=""),0,IF(36&gt;CARTÕES!$F27,0,CARTÕES!$K27+36-1))</f>
        <v/>
      </c>
      <c r="AM27" s="57">
        <f>IF(C27=0,0,IF(1=CARTÕES!$F27,CARTÕES!$E27-(CARTÕES!$F27-1)*ROUND(CARTÕES!$E27/CARTÕES!$F27,0),ROUND(CARTÕES!$E27/CARTÕES!$F27,0)))</f>
        <v/>
      </c>
      <c r="AN27" s="57">
        <f>IF(D27=0,0,IF(2=CARTÕES!$F27,CARTÕES!$E27-(CARTÕES!$F27-1)*ROUND(CARTÕES!$E27/CARTÕES!$F27,0),ROUND(CARTÕES!$E27/CARTÕES!$F27,0)))</f>
        <v/>
      </c>
      <c r="AO27" s="57">
        <f>IF(E27=0,0,IF(3=CARTÕES!$F27,CARTÕES!$E27-(CARTÕES!$F27-1)*ROUND(CARTÕES!$E27/CARTÕES!$F27,0),ROUND(CARTÕES!$E27/CARTÕES!$F27,0)))</f>
        <v/>
      </c>
      <c r="AP27" s="57">
        <f>IF(F27=0,0,IF(4=CARTÕES!$F27,CARTÕES!$E27-(CARTÕES!$F27-1)*ROUND(CARTÕES!$E27/CARTÕES!$F27,0),ROUND(CARTÕES!$E27/CARTÕES!$F27,0)))</f>
        <v/>
      </c>
      <c r="AQ27" s="57">
        <f>IF(G27=0,0,IF(5=CARTÕES!$F27,CARTÕES!$E27-(CARTÕES!$F27-1)*ROUND(CARTÕES!$E27/CARTÕES!$F27,0),ROUND(CARTÕES!$E27/CARTÕES!$F27,0)))</f>
        <v/>
      </c>
      <c r="AR27" s="57">
        <f>IF(H27=0,0,IF(6=CARTÕES!$F27,CARTÕES!$E27-(CARTÕES!$F27-1)*ROUND(CARTÕES!$E27/CARTÕES!$F27,0),ROUND(CARTÕES!$E27/CARTÕES!$F27,0)))</f>
        <v/>
      </c>
      <c r="AS27" s="57">
        <f>IF(I27=0,0,IF(7=CARTÕES!$F27,CARTÕES!$E27-(CARTÕES!$F27-1)*ROUND(CARTÕES!$E27/CARTÕES!$F27,0),ROUND(CARTÕES!$E27/CARTÕES!$F27,0)))</f>
        <v/>
      </c>
      <c r="AT27" s="57">
        <f>IF(J27=0,0,IF(8=CARTÕES!$F27,CARTÕES!$E27-(CARTÕES!$F27-1)*ROUND(CARTÕES!$E27/CARTÕES!$F27,0),ROUND(CARTÕES!$E27/CARTÕES!$F27,0)))</f>
        <v/>
      </c>
      <c r="AU27" s="57">
        <f>IF(K27=0,0,IF(9=CARTÕES!$F27,CARTÕES!$E27-(CARTÕES!$F27-1)*ROUND(CARTÕES!$E27/CARTÕES!$F27,0),ROUND(CARTÕES!$E27/CARTÕES!$F27,0)))</f>
        <v/>
      </c>
      <c r="AV27" s="57">
        <f>IF(L27=0,0,IF(10=CARTÕES!$F27,CARTÕES!$E27-(CARTÕES!$F27-1)*ROUND(CARTÕES!$E27/CARTÕES!$F27,0),ROUND(CARTÕES!$E27/CARTÕES!$F27,0)))</f>
        <v/>
      </c>
      <c r="AW27" s="57">
        <f>IF(M27=0,0,IF(11=CARTÕES!$F27,CARTÕES!$E27-(CARTÕES!$F27-1)*ROUND(CARTÕES!$E27/CARTÕES!$F27,0),ROUND(CARTÕES!$E27/CARTÕES!$F27,0)))</f>
        <v/>
      </c>
      <c r="AX27" s="57">
        <f>IF(N27=0,0,IF(12=CARTÕES!$F27,CARTÕES!$E27-(CARTÕES!$F27-1)*ROUND(CARTÕES!$E27/CARTÕES!$F27,0),ROUND(CARTÕES!$E27/CARTÕES!$F27,0)))</f>
        <v/>
      </c>
      <c r="AY27" s="57">
        <f>IF(O27=0,0,IF(13=CARTÕES!$F27,CARTÕES!$E27-(CARTÕES!$F27-1)*ROUND(CARTÕES!$E27/CARTÕES!$F27,0),ROUND(CARTÕES!$E27/CARTÕES!$F27,0)))</f>
        <v/>
      </c>
      <c r="AZ27" s="57">
        <f>IF(P27=0,0,IF(14=CARTÕES!$F27,CARTÕES!$E27-(CARTÕES!$F27-1)*ROUND(CARTÕES!$E27/CARTÕES!$F27,0),ROUND(CARTÕES!$E27/CARTÕES!$F27,0)))</f>
        <v/>
      </c>
      <c r="BA27" s="57">
        <f>IF(Q27=0,0,IF(15=CARTÕES!$F27,CARTÕES!$E27-(CARTÕES!$F27-1)*ROUND(CARTÕES!$E27/CARTÕES!$F27,0),ROUND(CARTÕES!$E27/CARTÕES!$F27,0)))</f>
        <v/>
      </c>
      <c r="BB27" s="57">
        <f>IF(R27=0,0,IF(16=CARTÕES!$F27,CARTÕES!$E27-(CARTÕES!$F27-1)*ROUND(CARTÕES!$E27/CARTÕES!$F27,0),ROUND(CARTÕES!$E27/CARTÕES!$F27,0)))</f>
        <v/>
      </c>
      <c r="BC27" s="57">
        <f>IF(S27=0,0,IF(17=CARTÕES!$F27,CARTÕES!$E27-(CARTÕES!$F27-1)*ROUND(CARTÕES!$E27/CARTÕES!$F27,0),ROUND(CARTÕES!$E27/CARTÕES!$F27,0)))</f>
        <v/>
      </c>
      <c r="BD27" s="57">
        <f>IF(T27=0,0,IF(18=CARTÕES!$F27,CARTÕES!$E27-(CARTÕES!$F27-1)*ROUND(CARTÕES!$E27/CARTÕES!$F27,0),ROUND(CARTÕES!$E27/CARTÕES!$F27,0)))</f>
        <v/>
      </c>
      <c r="BE27" s="57">
        <f>IF(U27=0,0,IF(19=CARTÕES!$F27,CARTÕES!$E27-(CARTÕES!$F27-1)*ROUND(CARTÕES!$E27/CARTÕES!$F27,0),ROUND(CARTÕES!$E27/CARTÕES!$F27,0)))</f>
        <v/>
      </c>
      <c r="BF27" s="57">
        <f>IF(V27=0,0,IF(20=CARTÕES!$F27,CARTÕES!$E27-(CARTÕES!$F27-1)*ROUND(CARTÕES!$E27/CARTÕES!$F27,0),ROUND(CARTÕES!$E27/CARTÕES!$F27,0)))</f>
        <v/>
      </c>
      <c r="BG27" s="57">
        <f>IF(W27=0,0,IF(21=CARTÕES!$F27,CARTÕES!$E27-(CARTÕES!$F27-1)*ROUND(CARTÕES!$E27/CARTÕES!$F27,0),ROUND(CARTÕES!$E27/CARTÕES!$F27,0)))</f>
        <v/>
      </c>
      <c r="BH27" s="57">
        <f>IF(X27=0,0,IF(22=CARTÕES!$F27,CARTÕES!$E27-(CARTÕES!$F27-1)*ROUND(CARTÕES!$E27/CARTÕES!$F27,0),ROUND(CARTÕES!$E27/CARTÕES!$F27,0)))</f>
        <v/>
      </c>
      <c r="BI27" s="57">
        <f>IF(Y27=0,0,IF(23=CARTÕES!$F27,CARTÕES!$E27-(CARTÕES!$F27-1)*ROUND(CARTÕES!$E27/CARTÕES!$F27,0),ROUND(CARTÕES!$E27/CARTÕES!$F27,0)))</f>
        <v/>
      </c>
      <c r="BJ27" s="57">
        <f>IF(Z27=0,0,IF(24=CARTÕES!$F27,CARTÕES!$E27-(CARTÕES!$F27-1)*ROUND(CARTÕES!$E27/CARTÕES!$F27,0),ROUND(CARTÕES!$E27/CARTÕES!$F27,0)))</f>
        <v/>
      </c>
      <c r="BK27" s="57">
        <f>IF(AA27=0,0,IF(25=CARTÕES!$F27,CARTÕES!$E27-(CARTÕES!$F27-1)*ROUND(CARTÕES!$E27/CARTÕES!$F27,0),ROUND(CARTÕES!$E27/CARTÕES!$F27,0)))</f>
        <v/>
      </c>
      <c r="BL27" s="57">
        <f>IF(AB27=0,0,IF(26=CARTÕES!$F27,CARTÕES!$E27-(CARTÕES!$F27-1)*ROUND(CARTÕES!$E27/CARTÕES!$F27,0),ROUND(CARTÕES!$E27/CARTÕES!$F27,0)))</f>
        <v/>
      </c>
      <c r="BM27" s="57">
        <f>IF(AC27=0,0,IF(27=CARTÕES!$F27,CARTÕES!$E27-(CARTÕES!$F27-1)*ROUND(CARTÕES!$E27/CARTÕES!$F27,0),ROUND(CARTÕES!$E27/CARTÕES!$F27,0)))</f>
        <v/>
      </c>
      <c r="BN27" s="57">
        <f>IF(AD27=0,0,IF(28=CARTÕES!$F27,CARTÕES!$E27-(CARTÕES!$F27-1)*ROUND(CARTÕES!$E27/CARTÕES!$F27,0),ROUND(CARTÕES!$E27/CARTÕES!$F27,0)))</f>
        <v/>
      </c>
      <c r="BO27" s="57">
        <f>IF(AE27=0,0,IF(29=CARTÕES!$F27,CARTÕES!$E27-(CARTÕES!$F27-1)*ROUND(CARTÕES!$E27/CARTÕES!$F27,0),ROUND(CARTÕES!$E27/CARTÕES!$F27,0)))</f>
        <v/>
      </c>
      <c r="BP27" s="57">
        <f>IF(AF27=0,0,IF(30=CARTÕES!$F27,CARTÕES!$E27-(CARTÕES!$F27-1)*ROUND(CARTÕES!$E27/CARTÕES!$F27,0),ROUND(CARTÕES!$E27/CARTÕES!$F27,0)))</f>
        <v/>
      </c>
      <c r="BQ27" s="57">
        <f>IF(AG27=0,0,IF(31=CARTÕES!$F27,CARTÕES!$E27-(CARTÕES!$F27-1)*ROUND(CARTÕES!$E27/CARTÕES!$F27,0),ROUND(CARTÕES!$E27/CARTÕES!$F27,0)))</f>
        <v/>
      </c>
      <c r="BR27" s="57">
        <f>IF(AH27=0,0,IF(32=CARTÕES!$F27,CARTÕES!$E27-(CARTÕES!$F27-1)*ROUND(CARTÕES!$E27/CARTÕES!$F27,0),ROUND(CARTÕES!$E27/CARTÕES!$F27,0)))</f>
        <v/>
      </c>
      <c r="BS27" s="57">
        <f>IF(AI27=0,0,IF(33=CARTÕES!$F27,CARTÕES!$E27-(CARTÕES!$F27-1)*ROUND(CARTÕES!$E27/CARTÕES!$F27,0),ROUND(CARTÕES!$E27/CARTÕES!$F27,0)))</f>
        <v/>
      </c>
      <c r="BT27" s="57">
        <f>IF(AJ27=0,0,IF(34=CARTÕES!$F27,CARTÕES!$E27-(CARTÕES!$F27-1)*ROUND(CARTÕES!$E27/CARTÕES!$F27,0),ROUND(CARTÕES!$E27/CARTÕES!$F27,0)))</f>
        <v/>
      </c>
      <c r="BU27" s="57">
        <f>IF(AK27=0,0,IF(35=CARTÕES!$F27,CARTÕES!$E27-(CARTÕES!$F27-1)*ROUND(CARTÕES!$E27/CARTÕES!$F27,0),ROUND(CARTÕES!$E27/CARTÕES!$F27,0)))</f>
        <v/>
      </c>
      <c r="BV27" s="57">
        <f>IF(AL27=0,0,IF(36=CARTÕES!$F27,CARTÕES!$E27-(CARTÕES!$F27-1)*ROUND(CARTÕES!$E27/CARTÕES!$F27,0),ROUND(CARTÕES!$E27/CARTÕES!$F27,0)))</f>
        <v/>
      </c>
    </row>
    <row r="28">
      <c r="A28" s="55">
        <f>IF(CARTÕES!$C28="","",CARTÕES!$C28)</f>
        <v/>
      </c>
      <c r="B28" s="56">
        <f>SUMPRODUCT((C28:AL28='RESUMO MENSAL'!$C$4)*AM28:BV28)</f>
        <v/>
      </c>
      <c r="C28" s="57">
        <f>IF(OR(CARTÕES!$K28=0,CARTÕES!$F28=""),0,IF(1&gt;CARTÕES!$F28,0,CARTÕES!$K28+1-1))</f>
        <v/>
      </c>
      <c r="D28" s="57">
        <f>IF(OR(CARTÕES!$K28=0,CARTÕES!$F28=""),0,IF(2&gt;CARTÕES!$F28,0,CARTÕES!$K28+2-1))</f>
        <v/>
      </c>
      <c r="E28" s="57">
        <f>IF(OR(CARTÕES!$K28=0,CARTÕES!$F28=""),0,IF(3&gt;CARTÕES!$F28,0,CARTÕES!$K28+3-1))</f>
        <v/>
      </c>
      <c r="F28" s="57">
        <f>IF(OR(CARTÕES!$K28=0,CARTÕES!$F28=""),0,IF(4&gt;CARTÕES!$F28,0,CARTÕES!$K28+4-1))</f>
        <v/>
      </c>
      <c r="G28" s="57">
        <f>IF(OR(CARTÕES!$K28=0,CARTÕES!$F28=""),0,IF(5&gt;CARTÕES!$F28,0,CARTÕES!$K28+5-1))</f>
        <v/>
      </c>
      <c r="H28" s="57">
        <f>IF(OR(CARTÕES!$K28=0,CARTÕES!$F28=""),0,IF(6&gt;CARTÕES!$F28,0,CARTÕES!$K28+6-1))</f>
        <v/>
      </c>
      <c r="I28" s="57">
        <f>IF(OR(CARTÕES!$K28=0,CARTÕES!$F28=""),0,IF(7&gt;CARTÕES!$F28,0,CARTÕES!$K28+7-1))</f>
        <v/>
      </c>
      <c r="J28" s="57">
        <f>IF(OR(CARTÕES!$K28=0,CARTÕES!$F28=""),0,IF(8&gt;CARTÕES!$F28,0,CARTÕES!$K28+8-1))</f>
        <v/>
      </c>
      <c r="K28" s="57">
        <f>IF(OR(CARTÕES!$K28=0,CARTÕES!$F28=""),0,IF(9&gt;CARTÕES!$F28,0,CARTÕES!$K28+9-1))</f>
        <v/>
      </c>
      <c r="L28" s="57">
        <f>IF(OR(CARTÕES!$K28=0,CARTÕES!$F28=""),0,IF(10&gt;CARTÕES!$F28,0,CARTÕES!$K28+10-1))</f>
        <v/>
      </c>
      <c r="M28" s="57">
        <f>IF(OR(CARTÕES!$K28=0,CARTÕES!$F28=""),0,IF(11&gt;CARTÕES!$F28,0,CARTÕES!$K28+11-1))</f>
        <v/>
      </c>
      <c r="N28" s="57">
        <f>IF(OR(CARTÕES!$K28=0,CARTÕES!$F28=""),0,IF(12&gt;CARTÕES!$F28,0,CARTÕES!$K28+12-1))</f>
        <v/>
      </c>
      <c r="O28" s="57">
        <f>IF(OR(CARTÕES!$K28=0,CARTÕES!$F28=""),0,IF(13&gt;CARTÕES!$F28,0,CARTÕES!$K28+13-1))</f>
        <v/>
      </c>
      <c r="P28" s="57">
        <f>IF(OR(CARTÕES!$K28=0,CARTÕES!$F28=""),0,IF(14&gt;CARTÕES!$F28,0,CARTÕES!$K28+14-1))</f>
        <v/>
      </c>
      <c r="Q28" s="57">
        <f>IF(OR(CARTÕES!$K28=0,CARTÕES!$F28=""),0,IF(15&gt;CARTÕES!$F28,0,CARTÕES!$K28+15-1))</f>
        <v/>
      </c>
      <c r="R28" s="57">
        <f>IF(OR(CARTÕES!$K28=0,CARTÕES!$F28=""),0,IF(16&gt;CARTÕES!$F28,0,CARTÕES!$K28+16-1))</f>
        <v/>
      </c>
      <c r="S28" s="57">
        <f>IF(OR(CARTÕES!$K28=0,CARTÕES!$F28=""),0,IF(17&gt;CARTÕES!$F28,0,CARTÕES!$K28+17-1))</f>
        <v/>
      </c>
      <c r="T28" s="57">
        <f>IF(OR(CARTÕES!$K28=0,CARTÕES!$F28=""),0,IF(18&gt;CARTÕES!$F28,0,CARTÕES!$K28+18-1))</f>
        <v/>
      </c>
      <c r="U28" s="57">
        <f>IF(OR(CARTÕES!$K28=0,CARTÕES!$F28=""),0,IF(19&gt;CARTÕES!$F28,0,CARTÕES!$K28+19-1))</f>
        <v/>
      </c>
      <c r="V28" s="57">
        <f>IF(OR(CARTÕES!$K28=0,CARTÕES!$F28=""),0,IF(20&gt;CARTÕES!$F28,0,CARTÕES!$K28+20-1))</f>
        <v/>
      </c>
      <c r="W28" s="57">
        <f>IF(OR(CARTÕES!$K28=0,CARTÕES!$F28=""),0,IF(21&gt;CARTÕES!$F28,0,CARTÕES!$K28+21-1))</f>
        <v/>
      </c>
      <c r="X28" s="57">
        <f>IF(OR(CARTÕES!$K28=0,CARTÕES!$F28=""),0,IF(22&gt;CARTÕES!$F28,0,CARTÕES!$K28+22-1))</f>
        <v/>
      </c>
      <c r="Y28" s="57">
        <f>IF(OR(CARTÕES!$K28=0,CARTÕES!$F28=""),0,IF(23&gt;CARTÕES!$F28,0,CARTÕES!$K28+23-1))</f>
        <v/>
      </c>
      <c r="Z28" s="57">
        <f>IF(OR(CARTÕES!$K28=0,CARTÕES!$F28=""),0,IF(24&gt;CARTÕES!$F28,0,CARTÕES!$K28+24-1))</f>
        <v/>
      </c>
      <c r="AA28" s="57">
        <f>IF(OR(CARTÕES!$K28=0,CARTÕES!$F28=""),0,IF(25&gt;CARTÕES!$F28,0,CARTÕES!$K28+25-1))</f>
        <v/>
      </c>
      <c r="AB28" s="57">
        <f>IF(OR(CARTÕES!$K28=0,CARTÕES!$F28=""),0,IF(26&gt;CARTÕES!$F28,0,CARTÕES!$K28+26-1))</f>
        <v/>
      </c>
      <c r="AC28" s="57">
        <f>IF(OR(CARTÕES!$K28=0,CARTÕES!$F28=""),0,IF(27&gt;CARTÕES!$F28,0,CARTÕES!$K28+27-1))</f>
        <v/>
      </c>
      <c r="AD28" s="57">
        <f>IF(OR(CARTÕES!$K28=0,CARTÕES!$F28=""),0,IF(28&gt;CARTÕES!$F28,0,CARTÕES!$K28+28-1))</f>
        <v/>
      </c>
      <c r="AE28" s="57">
        <f>IF(OR(CARTÕES!$K28=0,CARTÕES!$F28=""),0,IF(29&gt;CARTÕES!$F28,0,CARTÕES!$K28+29-1))</f>
        <v/>
      </c>
      <c r="AF28" s="57">
        <f>IF(OR(CARTÕES!$K28=0,CARTÕES!$F28=""),0,IF(30&gt;CARTÕES!$F28,0,CARTÕES!$K28+30-1))</f>
        <v/>
      </c>
      <c r="AG28" s="57">
        <f>IF(OR(CARTÕES!$K28=0,CARTÕES!$F28=""),0,IF(31&gt;CARTÕES!$F28,0,CARTÕES!$K28+31-1))</f>
        <v/>
      </c>
      <c r="AH28" s="57">
        <f>IF(OR(CARTÕES!$K28=0,CARTÕES!$F28=""),0,IF(32&gt;CARTÕES!$F28,0,CARTÕES!$K28+32-1))</f>
        <v/>
      </c>
      <c r="AI28" s="57">
        <f>IF(OR(CARTÕES!$K28=0,CARTÕES!$F28=""),0,IF(33&gt;CARTÕES!$F28,0,CARTÕES!$K28+33-1))</f>
        <v/>
      </c>
      <c r="AJ28" s="57">
        <f>IF(OR(CARTÕES!$K28=0,CARTÕES!$F28=""),0,IF(34&gt;CARTÕES!$F28,0,CARTÕES!$K28+34-1))</f>
        <v/>
      </c>
      <c r="AK28" s="57">
        <f>IF(OR(CARTÕES!$K28=0,CARTÕES!$F28=""),0,IF(35&gt;CARTÕES!$F28,0,CARTÕES!$K28+35-1))</f>
        <v/>
      </c>
      <c r="AL28" s="57">
        <f>IF(OR(CARTÕES!$K28=0,CARTÕES!$F28=""),0,IF(36&gt;CARTÕES!$F28,0,CARTÕES!$K28+36-1))</f>
        <v/>
      </c>
      <c r="AM28" s="57">
        <f>IF(C28=0,0,IF(1=CARTÕES!$F28,CARTÕES!$E28-(CARTÕES!$F28-1)*ROUND(CARTÕES!$E28/CARTÕES!$F28,0),ROUND(CARTÕES!$E28/CARTÕES!$F28,0)))</f>
        <v/>
      </c>
      <c r="AN28" s="57">
        <f>IF(D28=0,0,IF(2=CARTÕES!$F28,CARTÕES!$E28-(CARTÕES!$F28-1)*ROUND(CARTÕES!$E28/CARTÕES!$F28,0),ROUND(CARTÕES!$E28/CARTÕES!$F28,0)))</f>
        <v/>
      </c>
      <c r="AO28" s="57">
        <f>IF(E28=0,0,IF(3=CARTÕES!$F28,CARTÕES!$E28-(CARTÕES!$F28-1)*ROUND(CARTÕES!$E28/CARTÕES!$F28,0),ROUND(CARTÕES!$E28/CARTÕES!$F28,0)))</f>
        <v/>
      </c>
      <c r="AP28" s="57">
        <f>IF(F28=0,0,IF(4=CARTÕES!$F28,CARTÕES!$E28-(CARTÕES!$F28-1)*ROUND(CARTÕES!$E28/CARTÕES!$F28,0),ROUND(CARTÕES!$E28/CARTÕES!$F28,0)))</f>
        <v/>
      </c>
      <c r="AQ28" s="57">
        <f>IF(G28=0,0,IF(5=CARTÕES!$F28,CARTÕES!$E28-(CARTÕES!$F28-1)*ROUND(CARTÕES!$E28/CARTÕES!$F28,0),ROUND(CARTÕES!$E28/CARTÕES!$F28,0)))</f>
        <v/>
      </c>
      <c r="AR28" s="57">
        <f>IF(H28=0,0,IF(6=CARTÕES!$F28,CARTÕES!$E28-(CARTÕES!$F28-1)*ROUND(CARTÕES!$E28/CARTÕES!$F28,0),ROUND(CARTÕES!$E28/CARTÕES!$F28,0)))</f>
        <v/>
      </c>
      <c r="AS28" s="57">
        <f>IF(I28=0,0,IF(7=CARTÕES!$F28,CARTÕES!$E28-(CARTÕES!$F28-1)*ROUND(CARTÕES!$E28/CARTÕES!$F28,0),ROUND(CARTÕES!$E28/CARTÕES!$F28,0)))</f>
        <v/>
      </c>
      <c r="AT28" s="57">
        <f>IF(J28=0,0,IF(8=CARTÕES!$F28,CARTÕES!$E28-(CARTÕES!$F28-1)*ROUND(CARTÕES!$E28/CARTÕES!$F28,0),ROUND(CARTÕES!$E28/CARTÕES!$F28,0)))</f>
        <v/>
      </c>
      <c r="AU28" s="57">
        <f>IF(K28=0,0,IF(9=CARTÕES!$F28,CARTÕES!$E28-(CARTÕES!$F28-1)*ROUND(CARTÕES!$E28/CARTÕES!$F28,0),ROUND(CARTÕES!$E28/CARTÕES!$F28,0)))</f>
        <v/>
      </c>
      <c r="AV28" s="57">
        <f>IF(L28=0,0,IF(10=CARTÕES!$F28,CARTÕES!$E28-(CARTÕES!$F28-1)*ROUND(CARTÕES!$E28/CARTÕES!$F28,0),ROUND(CARTÕES!$E28/CARTÕES!$F28,0)))</f>
        <v/>
      </c>
      <c r="AW28" s="57">
        <f>IF(M28=0,0,IF(11=CARTÕES!$F28,CARTÕES!$E28-(CARTÕES!$F28-1)*ROUND(CARTÕES!$E28/CARTÕES!$F28,0),ROUND(CARTÕES!$E28/CARTÕES!$F28,0)))</f>
        <v/>
      </c>
      <c r="AX28" s="57">
        <f>IF(N28=0,0,IF(12=CARTÕES!$F28,CARTÕES!$E28-(CARTÕES!$F28-1)*ROUND(CARTÕES!$E28/CARTÕES!$F28,0),ROUND(CARTÕES!$E28/CARTÕES!$F28,0)))</f>
        <v/>
      </c>
      <c r="AY28" s="57">
        <f>IF(O28=0,0,IF(13=CARTÕES!$F28,CARTÕES!$E28-(CARTÕES!$F28-1)*ROUND(CARTÕES!$E28/CARTÕES!$F28,0),ROUND(CARTÕES!$E28/CARTÕES!$F28,0)))</f>
        <v/>
      </c>
      <c r="AZ28" s="57">
        <f>IF(P28=0,0,IF(14=CARTÕES!$F28,CARTÕES!$E28-(CARTÕES!$F28-1)*ROUND(CARTÕES!$E28/CARTÕES!$F28,0),ROUND(CARTÕES!$E28/CARTÕES!$F28,0)))</f>
        <v/>
      </c>
      <c r="BA28" s="57">
        <f>IF(Q28=0,0,IF(15=CARTÕES!$F28,CARTÕES!$E28-(CARTÕES!$F28-1)*ROUND(CARTÕES!$E28/CARTÕES!$F28,0),ROUND(CARTÕES!$E28/CARTÕES!$F28,0)))</f>
        <v/>
      </c>
      <c r="BB28" s="57">
        <f>IF(R28=0,0,IF(16=CARTÕES!$F28,CARTÕES!$E28-(CARTÕES!$F28-1)*ROUND(CARTÕES!$E28/CARTÕES!$F28,0),ROUND(CARTÕES!$E28/CARTÕES!$F28,0)))</f>
        <v/>
      </c>
      <c r="BC28" s="57">
        <f>IF(S28=0,0,IF(17=CARTÕES!$F28,CARTÕES!$E28-(CARTÕES!$F28-1)*ROUND(CARTÕES!$E28/CARTÕES!$F28,0),ROUND(CARTÕES!$E28/CARTÕES!$F28,0)))</f>
        <v/>
      </c>
      <c r="BD28" s="57">
        <f>IF(T28=0,0,IF(18=CARTÕES!$F28,CARTÕES!$E28-(CARTÕES!$F28-1)*ROUND(CARTÕES!$E28/CARTÕES!$F28,0),ROUND(CARTÕES!$E28/CARTÕES!$F28,0)))</f>
        <v/>
      </c>
      <c r="BE28" s="57">
        <f>IF(U28=0,0,IF(19=CARTÕES!$F28,CARTÕES!$E28-(CARTÕES!$F28-1)*ROUND(CARTÕES!$E28/CARTÕES!$F28,0),ROUND(CARTÕES!$E28/CARTÕES!$F28,0)))</f>
        <v/>
      </c>
      <c r="BF28" s="57">
        <f>IF(V28=0,0,IF(20=CARTÕES!$F28,CARTÕES!$E28-(CARTÕES!$F28-1)*ROUND(CARTÕES!$E28/CARTÕES!$F28,0),ROUND(CARTÕES!$E28/CARTÕES!$F28,0)))</f>
        <v/>
      </c>
      <c r="BG28" s="57">
        <f>IF(W28=0,0,IF(21=CARTÕES!$F28,CARTÕES!$E28-(CARTÕES!$F28-1)*ROUND(CARTÕES!$E28/CARTÕES!$F28,0),ROUND(CARTÕES!$E28/CARTÕES!$F28,0)))</f>
        <v/>
      </c>
      <c r="BH28" s="57">
        <f>IF(X28=0,0,IF(22=CARTÕES!$F28,CARTÕES!$E28-(CARTÕES!$F28-1)*ROUND(CARTÕES!$E28/CARTÕES!$F28,0),ROUND(CARTÕES!$E28/CARTÕES!$F28,0)))</f>
        <v/>
      </c>
      <c r="BI28" s="57">
        <f>IF(Y28=0,0,IF(23=CARTÕES!$F28,CARTÕES!$E28-(CARTÕES!$F28-1)*ROUND(CARTÕES!$E28/CARTÕES!$F28,0),ROUND(CARTÕES!$E28/CARTÕES!$F28,0)))</f>
        <v/>
      </c>
      <c r="BJ28" s="57">
        <f>IF(Z28=0,0,IF(24=CARTÕES!$F28,CARTÕES!$E28-(CARTÕES!$F28-1)*ROUND(CARTÕES!$E28/CARTÕES!$F28,0),ROUND(CARTÕES!$E28/CARTÕES!$F28,0)))</f>
        <v/>
      </c>
      <c r="BK28" s="57">
        <f>IF(AA28=0,0,IF(25=CARTÕES!$F28,CARTÕES!$E28-(CARTÕES!$F28-1)*ROUND(CARTÕES!$E28/CARTÕES!$F28,0),ROUND(CARTÕES!$E28/CARTÕES!$F28,0)))</f>
        <v/>
      </c>
      <c r="BL28" s="57">
        <f>IF(AB28=0,0,IF(26=CARTÕES!$F28,CARTÕES!$E28-(CARTÕES!$F28-1)*ROUND(CARTÕES!$E28/CARTÕES!$F28,0),ROUND(CARTÕES!$E28/CARTÕES!$F28,0)))</f>
        <v/>
      </c>
      <c r="BM28" s="57">
        <f>IF(AC28=0,0,IF(27=CARTÕES!$F28,CARTÕES!$E28-(CARTÕES!$F28-1)*ROUND(CARTÕES!$E28/CARTÕES!$F28,0),ROUND(CARTÕES!$E28/CARTÕES!$F28,0)))</f>
        <v/>
      </c>
      <c r="BN28" s="57">
        <f>IF(AD28=0,0,IF(28=CARTÕES!$F28,CARTÕES!$E28-(CARTÕES!$F28-1)*ROUND(CARTÕES!$E28/CARTÕES!$F28,0),ROUND(CARTÕES!$E28/CARTÕES!$F28,0)))</f>
        <v/>
      </c>
      <c r="BO28" s="57">
        <f>IF(AE28=0,0,IF(29=CARTÕES!$F28,CARTÕES!$E28-(CARTÕES!$F28-1)*ROUND(CARTÕES!$E28/CARTÕES!$F28,0),ROUND(CARTÕES!$E28/CARTÕES!$F28,0)))</f>
        <v/>
      </c>
      <c r="BP28" s="57">
        <f>IF(AF28=0,0,IF(30=CARTÕES!$F28,CARTÕES!$E28-(CARTÕES!$F28-1)*ROUND(CARTÕES!$E28/CARTÕES!$F28,0),ROUND(CARTÕES!$E28/CARTÕES!$F28,0)))</f>
        <v/>
      </c>
      <c r="BQ28" s="57">
        <f>IF(AG28=0,0,IF(31=CARTÕES!$F28,CARTÕES!$E28-(CARTÕES!$F28-1)*ROUND(CARTÕES!$E28/CARTÕES!$F28,0),ROUND(CARTÕES!$E28/CARTÕES!$F28,0)))</f>
        <v/>
      </c>
      <c r="BR28" s="57">
        <f>IF(AH28=0,0,IF(32=CARTÕES!$F28,CARTÕES!$E28-(CARTÕES!$F28-1)*ROUND(CARTÕES!$E28/CARTÕES!$F28,0),ROUND(CARTÕES!$E28/CARTÕES!$F28,0)))</f>
        <v/>
      </c>
      <c r="BS28" s="57">
        <f>IF(AI28=0,0,IF(33=CARTÕES!$F28,CARTÕES!$E28-(CARTÕES!$F28-1)*ROUND(CARTÕES!$E28/CARTÕES!$F28,0),ROUND(CARTÕES!$E28/CARTÕES!$F28,0)))</f>
        <v/>
      </c>
      <c r="BT28" s="57">
        <f>IF(AJ28=0,0,IF(34=CARTÕES!$F28,CARTÕES!$E28-(CARTÕES!$F28-1)*ROUND(CARTÕES!$E28/CARTÕES!$F28,0),ROUND(CARTÕES!$E28/CARTÕES!$F28,0)))</f>
        <v/>
      </c>
      <c r="BU28" s="57">
        <f>IF(AK28=0,0,IF(35=CARTÕES!$F28,CARTÕES!$E28-(CARTÕES!$F28-1)*ROUND(CARTÕES!$E28/CARTÕES!$F28,0),ROUND(CARTÕES!$E28/CARTÕES!$F28,0)))</f>
        <v/>
      </c>
      <c r="BV28" s="57">
        <f>IF(AL28=0,0,IF(36=CARTÕES!$F28,CARTÕES!$E28-(CARTÕES!$F28-1)*ROUND(CARTÕES!$E28/CARTÕES!$F28,0),ROUND(CARTÕES!$E28/CARTÕES!$F28,0)))</f>
        <v/>
      </c>
    </row>
    <row r="29">
      <c r="A29" s="55">
        <f>IF(CARTÕES!$C29="","",CARTÕES!$C29)</f>
        <v/>
      </c>
      <c r="B29" s="56">
        <f>SUMPRODUCT((C29:AL29='RESUMO MENSAL'!$C$4)*AM29:BV29)</f>
        <v/>
      </c>
      <c r="C29" s="57">
        <f>IF(OR(CARTÕES!$K29=0,CARTÕES!$F29=""),0,IF(1&gt;CARTÕES!$F29,0,CARTÕES!$K29+1-1))</f>
        <v/>
      </c>
      <c r="D29" s="57">
        <f>IF(OR(CARTÕES!$K29=0,CARTÕES!$F29=""),0,IF(2&gt;CARTÕES!$F29,0,CARTÕES!$K29+2-1))</f>
        <v/>
      </c>
      <c r="E29" s="57">
        <f>IF(OR(CARTÕES!$K29=0,CARTÕES!$F29=""),0,IF(3&gt;CARTÕES!$F29,0,CARTÕES!$K29+3-1))</f>
        <v/>
      </c>
      <c r="F29" s="57">
        <f>IF(OR(CARTÕES!$K29=0,CARTÕES!$F29=""),0,IF(4&gt;CARTÕES!$F29,0,CARTÕES!$K29+4-1))</f>
        <v/>
      </c>
      <c r="G29" s="57">
        <f>IF(OR(CARTÕES!$K29=0,CARTÕES!$F29=""),0,IF(5&gt;CARTÕES!$F29,0,CARTÕES!$K29+5-1))</f>
        <v/>
      </c>
      <c r="H29" s="57">
        <f>IF(OR(CARTÕES!$K29=0,CARTÕES!$F29=""),0,IF(6&gt;CARTÕES!$F29,0,CARTÕES!$K29+6-1))</f>
        <v/>
      </c>
      <c r="I29" s="57">
        <f>IF(OR(CARTÕES!$K29=0,CARTÕES!$F29=""),0,IF(7&gt;CARTÕES!$F29,0,CARTÕES!$K29+7-1))</f>
        <v/>
      </c>
      <c r="J29" s="57">
        <f>IF(OR(CARTÕES!$K29=0,CARTÕES!$F29=""),0,IF(8&gt;CARTÕES!$F29,0,CARTÕES!$K29+8-1))</f>
        <v/>
      </c>
      <c r="K29" s="57">
        <f>IF(OR(CARTÕES!$K29=0,CARTÕES!$F29=""),0,IF(9&gt;CARTÕES!$F29,0,CARTÕES!$K29+9-1))</f>
        <v/>
      </c>
      <c r="L29" s="57">
        <f>IF(OR(CARTÕES!$K29=0,CARTÕES!$F29=""),0,IF(10&gt;CARTÕES!$F29,0,CARTÕES!$K29+10-1))</f>
        <v/>
      </c>
      <c r="M29" s="57">
        <f>IF(OR(CARTÕES!$K29=0,CARTÕES!$F29=""),0,IF(11&gt;CARTÕES!$F29,0,CARTÕES!$K29+11-1))</f>
        <v/>
      </c>
      <c r="N29" s="57">
        <f>IF(OR(CARTÕES!$K29=0,CARTÕES!$F29=""),0,IF(12&gt;CARTÕES!$F29,0,CARTÕES!$K29+12-1))</f>
        <v/>
      </c>
      <c r="O29" s="57">
        <f>IF(OR(CARTÕES!$K29=0,CARTÕES!$F29=""),0,IF(13&gt;CARTÕES!$F29,0,CARTÕES!$K29+13-1))</f>
        <v/>
      </c>
      <c r="P29" s="57">
        <f>IF(OR(CARTÕES!$K29=0,CARTÕES!$F29=""),0,IF(14&gt;CARTÕES!$F29,0,CARTÕES!$K29+14-1))</f>
        <v/>
      </c>
      <c r="Q29" s="57">
        <f>IF(OR(CARTÕES!$K29=0,CARTÕES!$F29=""),0,IF(15&gt;CARTÕES!$F29,0,CARTÕES!$K29+15-1))</f>
        <v/>
      </c>
      <c r="R29" s="57">
        <f>IF(OR(CARTÕES!$K29=0,CARTÕES!$F29=""),0,IF(16&gt;CARTÕES!$F29,0,CARTÕES!$K29+16-1))</f>
        <v/>
      </c>
      <c r="S29" s="57">
        <f>IF(OR(CARTÕES!$K29=0,CARTÕES!$F29=""),0,IF(17&gt;CARTÕES!$F29,0,CARTÕES!$K29+17-1))</f>
        <v/>
      </c>
      <c r="T29" s="57">
        <f>IF(OR(CARTÕES!$K29=0,CARTÕES!$F29=""),0,IF(18&gt;CARTÕES!$F29,0,CARTÕES!$K29+18-1))</f>
        <v/>
      </c>
      <c r="U29" s="57">
        <f>IF(OR(CARTÕES!$K29=0,CARTÕES!$F29=""),0,IF(19&gt;CARTÕES!$F29,0,CARTÕES!$K29+19-1))</f>
        <v/>
      </c>
      <c r="V29" s="57">
        <f>IF(OR(CARTÕES!$K29=0,CARTÕES!$F29=""),0,IF(20&gt;CARTÕES!$F29,0,CARTÕES!$K29+20-1))</f>
        <v/>
      </c>
      <c r="W29" s="57">
        <f>IF(OR(CARTÕES!$K29=0,CARTÕES!$F29=""),0,IF(21&gt;CARTÕES!$F29,0,CARTÕES!$K29+21-1))</f>
        <v/>
      </c>
      <c r="X29" s="57">
        <f>IF(OR(CARTÕES!$K29=0,CARTÕES!$F29=""),0,IF(22&gt;CARTÕES!$F29,0,CARTÕES!$K29+22-1))</f>
        <v/>
      </c>
      <c r="Y29" s="57">
        <f>IF(OR(CARTÕES!$K29=0,CARTÕES!$F29=""),0,IF(23&gt;CARTÕES!$F29,0,CARTÕES!$K29+23-1))</f>
        <v/>
      </c>
      <c r="Z29" s="57">
        <f>IF(OR(CARTÕES!$K29=0,CARTÕES!$F29=""),0,IF(24&gt;CARTÕES!$F29,0,CARTÕES!$K29+24-1))</f>
        <v/>
      </c>
      <c r="AA29" s="57">
        <f>IF(OR(CARTÕES!$K29=0,CARTÕES!$F29=""),0,IF(25&gt;CARTÕES!$F29,0,CARTÕES!$K29+25-1))</f>
        <v/>
      </c>
      <c r="AB29" s="57">
        <f>IF(OR(CARTÕES!$K29=0,CARTÕES!$F29=""),0,IF(26&gt;CARTÕES!$F29,0,CARTÕES!$K29+26-1))</f>
        <v/>
      </c>
      <c r="AC29" s="57">
        <f>IF(OR(CARTÕES!$K29=0,CARTÕES!$F29=""),0,IF(27&gt;CARTÕES!$F29,0,CARTÕES!$K29+27-1))</f>
        <v/>
      </c>
      <c r="AD29" s="57">
        <f>IF(OR(CARTÕES!$K29=0,CARTÕES!$F29=""),0,IF(28&gt;CARTÕES!$F29,0,CARTÕES!$K29+28-1))</f>
        <v/>
      </c>
      <c r="AE29" s="57">
        <f>IF(OR(CARTÕES!$K29=0,CARTÕES!$F29=""),0,IF(29&gt;CARTÕES!$F29,0,CARTÕES!$K29+29-1))</f>
        <v/>
      </c>
      <c r="AF29" s="57">
        <f>IF(OR(CARTÕES!$K29=0,CARTÕES!$F29=""),0,IF(30&gt;CARTÕES!$F29,0,CARTÕES!$K29+30-1))</f>
        <v/>
      </c>
      <c r="AG29" s="57">
        <f>IF(OR(CARTÕES!$K29=0,CARTÕES!$F29=""),0,IF(31&gt;CARTÕES!$F29,0,CARTÕES!$K29+31-1))</f>
        <v/>
      </c>
      <c r="AH29" s="57">
        <f>IF(OR(CARTÕES!$K29=0,CARTÕES!$F29=""),0,IF(32&gt;CARTÕES!$F29,0,CARTÕES!$K29+32-1))</f>
        <v/>
      </c>
      <c r="AI29" s="57">
        <f>IF(OR(CARTÕES!$K29=0,CARTÕES!$F29=""),0,IF(33&gt;CARTÕES!$F29,0,CARTÕES!$K29+33-1))</f>
        <v/>
      </c>
      <c r="AJ29" s="57">
        <f>IF(OR(CARTÕES!$K29=0,CARTÕES!$F29=""),0,IF(34&gt;CARTÕES!$F29,0,CARTÕES!$K29+34-1))</f>
        <v/>
      </c>
      <c r="AK29" s="57">
        <f>IF(OR(CARTÕES!$K29=0,CARTÕES!$F29=""),0,IF(35&gt;CARTÕES!$F29,0,CARTÕES!$K29+35-1))</f>
        <v/>
      </c>
      <c r="AL29" s="57">
        <f>IF(OR(CARTÕES!$K29=0,CARTÕES!$F29=""),0,IF(36&gt;CARTÕES!$F29,0,CARTÕES!$K29+36-1))</f>
        <v/>
      </c>
      <c r="AM29" s="57">
        <f>IF(C29=0,0,IF(1=CARTÕES!$F29,CARTÕES!$E29-(CARTÕES!$F29-1)*ROUND(CARTÕES!$E29/CARTÕES!$F29,0),ROUND(CARTÕES!$E29/CARTÕES!$F29,0)))</f>
        <v/>
      </c>
      <c r="AN29" s="57">
        <f>IF(D29=0,0,IF(2=CARTÕES!$F29,CARTÕES!$E29-(CARTÕES!$F29-1)*ROUND(CARTÕES!$E29/CARTÕES!$F29,0),ROUND(CARTÕES!$E29/CARTÕES!$F29,0)))</f>
        <v/>
      </c>
      <c r="AO29" s="57">
        <f>IF(E29=0,0,IF(3=CARTÕES!$F29,CARTÕES!$E29-(CARTÕES!$F29-1)*ROUND(CARTÕES!$E29/CARTÕES!$F29,0),ROUND(CARTÕES!$E29/CARTÕES!$F29,0)))</f>
        <v/>
      </c>
      <c r="AP29" s="57">
        <f>IF(F29=0,0,IF(4=CARTÕES!$F29,CARTÕES!$E29-(CARTÕES!$F29-1)*ROUND(CARTÕES!$E29/CARTÕES!$F29,0),ROUND(CARTÕES!$E29/CARTÕES!$F29,0)))</f>
        <v/>
      </c>
      <c r="AQ29" s="57">
        <f>IF(G29=0,0,IF(5=CARTÕES!$F29,CARTÕES!$E29-(CARTÕES!$F29-1)*ROUND(CARTÕES!$E29/CARTÕES!$F29,0),ROUND(CARTÕES!$E29/CARTÕES!$F29,0)))</f>
        <v/>
      </c>
      <c r="AR29" s="57">
        <f>IF(H29=0,0,IF(6=CARTÕES!$F29,CARTÕES!$E29-(CARTÕES!$F29-1)*ROUND(CARTÕES!$E29/CARTÕES!$F29,0),ROUND(CARTÕES!$E29/CARTÕES!$F29,0)))</f>
        <v/>
      </c>
      <c r="AS29" s="57">
        <f>IF(I29=0,0,IF(7=CARTÕES!$F29,CARTÕES!$E29-(CARTÕES!$F29-1)*ROUND(CARTÕES!$E29/CARTÕES!$F29,0),ROUND(CARTÕES!$E29/CARTÕES!$F29,0)))</f>
        <v/>
      </c>
      <c r="AT29" s="57">
        <f>IF(J29=0,0,IF(8=CARTÕES!$F29,CARTÕES!$E29-(CARTÕES!$F29-1)*ROUND(CARTÕES!$E29/CARTÕES!$F29,0),ROUND(CARTÕES!$E29/CARTÕES!$F29,0)))</f>
        <v/>
      </c>
      <c r="AU29" s="57">
        <f>IF(K29=0,0,IF(9=CARTÕES!$F29,CARTÕES!$E29-(CARTÕES!$F29-1)*ROUND(CARTÕES!$E29/CARTÕES!$F29,0),ROUND(CARTÕES!$E29/CARTÕES!$F29,0)))</f>
        <v/>
      </c>
      <c r="AV29" s="57">
        <f>IF(L29=0,0,IF(10=CARTÕES!$F29,CARTÕES!$E29-(CARTÕES!$F29-1)*ROUND(CARTÕES!$E29/CARTÕES!$F29,0),ROUND(CARTÕES!$E29/CARTÕES!$F29,0)))</f>
        <v/>
      </c>
      <c r="AW29" s="57">
        <f>IF(M29=0,0,IF(11=CARTÕES!$F29,CARTÕES!$E29-(CARTÕES!$F29-1)*ROUND(CARTÕES!$E29/CARTÕES!$F29,0),ROUND(CARTÕES!$E29/CARTÕES!$F29,0)))</f>
        <v/>
      </c>
      <c r="AX29" s="57">
        <f>IF(N29=0,0,IF(12=CARTÕES!$F29,CARTÕES!$E29-(CARTÕES!$F29-1)*ROUND(CARTÕES!$E29/CARTÕES!$F29,0),ROUND(CARTÕES!$E29/CARTÕES!$F29,0)))</f>
        <v/>
      </c>
      <c r="AY29" s="57">
        <f>IF(O29=0,0,IF(13=CARTÕES!$F29,CARTÕES!$E29-(CARTÕES!$F29-1)*ROUND(CARTÕES!$E29/CARTÕES!$F29,0),ROUND(CARTÕES!$E29/CARTÕES!$F29,0)))</f>
        <v/>
      </c>
      <c r="AZ29" s="57">
        <f>IF(P29=0,0,IF(14=CARTÕES!$F29,CARTÕES!$E29-(CARTÕES!$F29-1)*ROUND(CARTÕES!$E29/CARTÕES!$F29,0),ROUND(CARTÕES!$E29/CARTÕES!$F29,0)))</f>
        <v/>
      </c>
      <c r="BA29" s="57">
        <f>IF(Q29=0,0,IF(15=CARTÕES!$F29,CARTÕES!$E29-(CARTÕES!$F29-1)*ROUND(CARTÕES!$E29/CARTÕES!$F29,0),ROUND(CARTÕES!$E29/CARTÕES!$F29,0)))</f>
        <v/>
      </c>
      <c r="BB29" s="57">
        <f>IF(R29=0,0,IF(16=CARTÕES!$F29,CARTÕES!$E29-(CARTÕES!$F29-1)*ROUND(CARTÕES!$E29/CARTÕES!$F29,0),ROUND(CARTÕES!$E29/CARTÕES!$F29,0)))</f>
        <v/>
      </c>
      <c r="BC29" s="57">
        <f>IF(S29=0,0,IF(17=CARTÕES!$F29,CARTÕES!$E29-(CARTÕES!$F29-1)*ROUND(CARTÕES!$E29/CARTÕES!$F29,0),ROUND(CARTÕES!$E29/CARTÕES!$F29,0)))</f>
        <v/>
      </c>
      <c r="BD29" s="57">
        <f>IF(T29=0,0,IF(18=CARTÕES!$F29,CARTÕES!$E29-(CARTÕES!$F29-1)*ROUND(CARTÕES!$E29/CARTÕES!$F29,0),ROUND(CARTÕES!$E29/CARTÕES!$F29,0)))</f>
        <v/>
      </c>
      <c r="BE29" s="57">
        <f>IF(U29=0,0,IF(19=CARTÕES!$F29,CARTÕES!$E29-(CARTÕES!$F29-1)*ROUND(CARTÕES!$E29/CARTÕES!$F29,0),ROUND(CARTÕES!$E29/CARTÕES!$F29,0)))</f>
        <v/>
      </c>
      <c r="BF29" s="57">
        <f>IF(V29=0,0,IF(20=CARTÕES!$F29,CARTÕES!$E29-(CARTÕES!$F29-1)*ROUND(CARTÕES!$E29/CARTÕES!$F29,0),ROUND(CARTÕES!$E29/CARTÕES!$F29,0)))</f>
        <v/>
      </c>
      <c r="BG29" s="57">
        <f>IF(W29=0,0,IF(21=CARTÕES!$F29,CARTÕES!$E29-(CARTÕES!$F29-1)*ROUND(CARTÕES!$E29/CARTÕES!$F29,0),ROUND(CARTÕES!$E29/CARTÕES!$F29,0)))</f>
        <v/>
      </c>
      <c r="BH29" s="57">
        <f>IF(X29=0,0,IF(22=CARTÕES!$F29,CARTÕES!$E29-(CARTÕES!$F29-1)*ROUND(CARTÕES!$E29/CARTÕES!$F29,0),ROUND(CARTÕES!$E29/CARTÕES!$F29,0)))</f>
        <v/>
      </c>
      <c r="BI29" s="57">
        <f>IF(Y29=0,0,IF(23=CARTÕES!$F29,CARTÕES!$E29-(CARTÕES!$F29-1)*ROUND(CARTÕES!$E29/CARTÕES!$F29,0),ROUND(CARTÕES!$E29/CARTÕES!$F29,0)))</f>
        <v/>
      </c>
      <c r="BJ29" s="57">
        <f>IF(Z29=0,0,IF(24=CARTÕES!$F29,CARTÕES!$E29-(CARTÕES!$F29-1)*ROUND(CARTÕES!$E29/CARTÕES!$F29,0),ROUND(CARTÕES!$E29/CARTÕES!$F29,0)))</f>
        <v/>
      </c>
      <c r="BK29" s="57">
        <f>IF(AA29=0,0,IF(25=CARTÕES!$F29,CARTÕES!$E29-(CARTÕES!$F29-1)*ROUND(CARTÕES!$E29/CARTÕES!$F29,0),ROUND(CARTÕES!$E29/CARTÕES!$F29,0)))</f>
        <v/>
      </c>
      <c r="BL29" s="57">
        <f>IF(AB29=0,0,IF(26=CARTÕES!$F29,CARTÕES!$E29-(CARTÕES!$F29-1)*ROUND(CARTÕES!$E29/CARTÕES!$F29,0),ROUND(CARTÕES!$E29/CARTÕES!$F29,0)))</f>
        <v/>
      </c>
      <c r="BM29" s="57">
        <f>IF(AC29=0,0,IF(27=CARTÕES!$F29,CARTÕES!$E29-(CARTÕES!$F29-1)*ROUND(CARTÕES!$E29/CARTÕES!$F29,0),ROUND(CARTÕES!$E29/CARTÕES!$F29,0)))</f>
        <v/>
      </c>
      <c r="BN29" s="57">
        <f>IF(AD29=0,0,IF(28=CARTÕES!$F29,CARTÕES!$E29-(CARTÕES!$F29-1)*ROUND(CARTÕES!$E29/CARTÕES!$F29,0),ROUND(CARTÕES!$E29/CARTÕES!$F29,0)))</f>
        <v/>
      </c>
      <c r="BO29" s="57">
        <f>IF(AE29=0,0,IF(29=CARTÕES!$F29,CARTÕES!$E29-(CARTÕES!$F29-1)*ROUND(CARTÕES!$E29/CARTÕES!$F29,0),ROUND(CARTÕES!$E29/CARTÕES!$F29,0)))</f>
        <v/>
      </c>
      <c r="BP29" s="57">
        <f>IF(AF29=0,0,IF(30=CARTÕES!$F29,CARTÕES!$E29-(CARTÕES!$F29-1)*ROUND(CARTÕES!$E29/CARTÕES!$F29,0),ROUND(CARTÕES!$E29/CARTÕES!$F29,0)))</f>
        <v/>
      </c>
      <c r="BQ29" s="57">
        <f>IF(AG29=0,0,IF(31=CARTÕES!$F29,CARTÕES!$E29-(CARTÕES!$F29-1)*ROUND(CARTÕES!$E29/CARTÕES!$F29,0),ROUND(CARTÕES!$E29/CARTÕES!$F29,0)))</f>
        <v/>
      </c>
      <c r="BR29" s="57">
        <f>IF(AH29=0,0,IF(32=CARTÕES!$F29,CARTÕES!$E29-(CARTÕES!$F29-1)*ROUND(CARTÕES!$E29/CARTÕES!$F29,0),ROUND(CARTÕES!$E29/CARTÕES!$F29,0)))</f>
        <v/>
      </c>
      <c r="BS29" s="57">
        <f>IF(AI29=0,0,IF(33=CARTÕES!$F29,CARTÕES!$E29-(CARTÕES!$F29-1)*ROUND(CARTÕES!$E29/CARTÕES!$F29,0),ROUND(CARTÕES!$E29/CARTÕES!$F29,0)))</f>
        <v/>
      </c>
      <c r="BT29" s="57">
        <f>IF(AJ29=0,0,IF(34=CARTÕES!$F29,CARTÕES!$E29-(CARTÕES!$F29-1)*ROUND(CARTÕES!$E29/CARTÕES!$F29,0),ROUND(CARTÕES!$E29/CARTÕES!$F29,0)))</f>
        <v/>
      </c>
      <c r="BU29" s="57">
        <f>IF(AK29=0,0,IF(35=CARTÕES!$F29,CARTÕES!$E29-(CARTÕES!$F29-1)*ROUND(CARTÕES!$E29/CARTÕES!$F29,0),ROUND(CARTÕES!$E29/CARTÕES!$F29,0)))</f>
        <v/>
      </c>
      <c r="BV29" s="57">
        <f>IF(AL29=0,0,IF(36=CARTÕES!$F29,CARTÕES!$E29-(CARTÕES!$F29-1)*ROUND(CARTÕES!$E29/CARTÕES!$F29,0),ROUND(CARTÕES!$E29/CARTÕES!$F29,0)))</f>
        <v/>
      </c>
    </row>
    <row r="30">
      <c r="A30" s="55">
        <f>IF(CARTÕES!$C30="","",CARTÕES!$C30)</f>
        <v/>
      </c>
      <c r="B30" s="56">
        <f>SUMPRODUCT((C30:AL30='RESUMO MENSAL'!$C$4)*AM30:BV30)</f>
        <v/>
      </c>
      <c r="C30" s="57">
        <f>IF(OR(CARTÕES!$K30=0,CARTÕES!$F30=""),0,IF(1&gt;CARTÕES!$F30,0,CARTÕES!$K30+1-1))</f>
        <v/>
      </c>
      <c r="D30" s="57">
        <f>IF(OR(CARTÕES!$K30=0,CARTÕES!$F30=""),0,IF(2&gt;CARTÕES!$F30,0,CARTÕES!$K30+2-1))</f>
        <v/>
      </c>
      <c r="E30" s="57">
        <f>IF(OR(CARTÕES!$K30=0,CARTÕES!$F30=""),0,IF(3&gt;CARTÕES!$F30,0,CARTÕES!$K30+3-1))</f>
        <v/>
      </c>
      <c r="F30" s="57">
        <f>IF(OR(CARTÕES!$K30=0,CARTÕES!$F30=""),0,IF(4&gt;CARTÕES!$F30,0,CARTÕES!$K30+4-1))</f>
        <v/>
      </c>
      <c r="G30" s="57">
        <f>IF(OR(CARTÕES!$K30=0,CARTÕES!$F30=""),0,IF(5&gt;CARTÕES!$F30,0,CARTÕES!$K30+5-1))</f>
        <v/>
      </c>
      <c r="H30" s="57">
        <f>IF(OR(CARTÕES!$K30=0,CARTÕES!$F30=""),0,IF(6&gt;CARTÕES!$F30,0,CARTÕES!$K30+6-1))</f>
        <v/>
      </c>
      <c r="I30" s="57">
        <f>IF(OR(CARTÕES!$K30=0,CARTÕES!$F30=""),0,IF(7&gt;CARTÕES!$F30,0,CARTÕES!$K30+7-1))</f>
        <v/>
      </c>
      <c r="J30" s="57">
        <f>IF(OR(CARTÕES!$K30=0,CARTÕES!$F30=""),0,IF(8&gt;CARTÕES!$F30,0,CARTÕES!$K30+8-1))</f>
        <v/>
      </c>
      <c r="K30" s="57">
        <f>IF(OR(CARTÕES!$K30=0,CARTÕES!$F30=""),0,IF(9&gt;CARTÕES!$F30,0,CARTÕES!$K30+9-1))</f>
        <v/>
      </c>
      <c r="L30" s="57">
        <f>IF(OR(CARTÕES!$K30=0,CARTÕES!$F30=""),0,IF(10&gt;CARTÕES!$F30,0,CARTÕES!$K30+10-1))</f>
        <v/>
      </c>
      <c r="M30" s="57">
        <f>IF(OR(CARTÕES!$K30=0,CARTÕES!$F30=""),0,IF(11&gt;CARTÕES!$F30,0,CARTÕES!$K30+11-1))</f>
        <v/>
      </c>
      <c r="N30" s="57">
        <f>IF(OR(CARTÕES!$K30=0,CARTÕES!$F30=""),0,IF(12&gt;CARTÕES!$F30,0,CARTÕES!$K30+12-1))</f>
        <v/>
      </c>
      <c r="O30" s="57">
        <f>IF(OR(CARTÕES!$K30=0,CARTÕES!$F30=""),0,IF(13&gt;CARTÕES!$F30,0,CARTÕES!$K30+13-1))</f>
        <v/>
      </c>
      <c r="P30" s="57">
        <f>IF(OR(CARTÕES!$K30=0,CARTÕES!$F30=""),0,IF(14&gt;CARTÕES!$F30,0,CARTÕES!$K30+14-1))</f>
        <v/>
      </c>
      <c r="Q30" s="57">
        <f>IF(OR(CARTÕES!$K30=0,CARTÕES!$F30=""),0,IF(15&gt;CARTÕES!$F30,0,CARTÕES!$K30+15-1))</f>
        <v/>
      </c>
      <c r="R30" s="57">
        <f>IF(OR(CARTÕES!$K30=0,CARTÕES!$F30=""),0,IF(16&gt;CARTÕES!$F30,0,CARTÕES!$K30+16-1))</f>
        <v/>
      </c>
      <c r="S30" s="57">
        <f>IF(OR(CARTÕES!$K30=0,CARTÕES!$F30=""),0,IF(17&gt;CARTÕES!$F30,0,CARTÕES!$K30+17-1))</f>
        <v/>
      </c>
      <c r="T30" s="57">
        <f>IF(OR(CARTÕES!$K30=0,CARTÕES!$F30=""),0,IF(18&gt;CARTÕES!$F30,0,CARTÕES!$K30+18-1))</f>
        <v/>
      </c>
      <c r="U30" s="57">
        <f>IF(OR(CARTÕES!$K30=0,CARTÕES!$F30=""),0,IF(19&gt;CARTÕES!$F30,0,CARTÕES!$K30+19-1))</f>
        <v/>
      </c>
      <c r="V30" s="57">
        <f>IF(OR(CARTÕES!$K30=0,CARTÕES!$F30=""),0,IF(20&gt;CARTÕES!$F30,0,CARTÕES!$K30+20-1))</f>
        <v/>
      </c>
      <c r="W30" s="57">
        <f>IF(OR(CARTÕES!$K30=0,CARTÕES!$F30=""),0,IF(21&gt;CARTÕES!$F30,0,CARTÕES!$K30+21-1))</f>
        <v/>
      </c>
      <c r="X30" s="57">
        <f>IF(OR(CARTÕES!$K30=0,CARTÕES!$F30=""),0,IF(22&gt;CARTÕES!$F30,0,CARTÕES!$K30+22-1))</f>
        <v/>
      </c>
      <c r="Y30" s="57">
        <f>IF(OR(CARTÕES!$K30=0,CARTÕES!$F30=""),0,IF(23&gt;CARTÕES!$F30,0,CARTÕES!$K30+23-1))</f>
        <v/>
      </c>
      <c r="Z30" s="57">
        <f>IF(OR(CARTÕES!$K30=0,CARTÕES!$F30=""),0,IF(24&gt;CARTÕES!$F30,0,CARTÕES!$K30+24-1))</f>
        <v/>
      </c>
      <c r="AA30" s="57">
        <f>IF(OR(CARTÕES!$K30=0,CARTÕES!$F30=""),0,IF(25&gt;CARTÕES!$F30,0,CARTÕES!$K30+25-1))</f>
        <v/>
      </c>
      <c r="AB30" s="57">
        <f>IF(OR(CARTÕES!$K30=0,CARTÕES!$F30=""),0,IF(26&gt;CARTÕES!$F30,0,CARTÕES!$K30+26-1))</f>
        <v/>
      </c>
      <c r="AC30" s="57">
        <f>IF(OR(CARTÕES!$K30=0,CARTÕES!$F30=""),0,IF(27&gt;CARTÕES!$F30,0,CARTÕES!$K30+27-1))</f>
        <v/>
      </c>
      <c r="AD30" s="57">
        <f>IF(OR(CARTÕES!$K30=0,CARTÕES!$F30=""),0,IF(28&gt;CARTÕES!$F30,0,CARTÕES!$K30+28-1))</f>
        <v/>
      </c>
      <c r="AE30" s="57">
        <f>IF(OR(CARTÕES!$K30=0,CARTÕES!$F30=""),0,IF(29&gt;CARTÕES!$F30,0,CARTÕES!$K30+29-1))</f>
        <v/>
      </c>
      <c r="AF30" s="57">
        <f>IF(OR(CARTÕES!$K30=0,CARTÕES!$F30=""),0,IF(30&gt;CARTÕES!$F30,0,CARTÕES!$K30+30-1))</f>
        <v/>
      </c>
      <c r="AG30" s="57">
        <f>IF(OR(CARTÕES!$K30=0,CARTÕES!$F30=""),0,IF(31&gt;CARTÕES!$F30,0,CARTÕES!$K30+31-1))</f>
        <v/>
      </c>
      <c r="AH30" s="57">
        <f>IF(OR(CARTÕES!$K30=0,CARTÕES!$F30=""),0,IF(32&gt;CARTÕES!$F30,0,CARTÕES!$K30+32-1))</f>
        <v/>
      </c>
      <c r="AI30" s="57">
        <f>IF(OR(CARTÕES!$K30=0,CARTÕES!$F30=""),0,IF(33&gt;CARTÕES!$F30,0,CARTÕES!$K30+33-1))</f>
        <v/>
      </c>
      <c r="AJ30" s="57">
        <f>IF(OR(CARTÕES!$K30=0,CARTÕES!$F30=""),0,IF(34&gt;CARTÕES!$F30,0,CARTÕES!$K30+34-1))</f>
        <v/>
      </c>
      <c r="AK30" s="57">
        <f>IF(OR(CARTÕES!$K30=0,CARTÕES!$F30=""),0,IF(35&gt;CARTÕES!$F30,0,CARTÕES!$K30+35-1))</f>
        <v/>
      </c>
      <c r="AL30" s="57">
        <f>IF(OR(CARTÕES!$K30=0,CARTÕES!$F30=""),0,IF(36&gt;CARTÕES!$F30,0,CARTÕES!$K30+36-1))</f>
        <v/>
      </c>
      <c r="AM30" s="57">
        <f>IF(C30=0,0,IF(1=CARTÕES!$F30,CARTÕES!$E30-(CARTÕES!$F30-1)*ROUND(CARTÕES!$E30/CARTÕES!$F30,0),ROUND(CARTÕES!$E30/CARTÕES!$F30,0)))</f>
        <v/>
      </c>
      <c r="AN30" s="57">
        <f>IF(D30=0,0,IF(2=CARTÕES!$F30,CARTÕES!$E30-(CARTÕES!$F30-1)*ROUND(CARTÕES!$E30/CARTÕES!$F30,0),ROUND(CARTÕES!$E30/CARTÕES!$F30,0)))</f>
        <v/>
      </c>
      <c r="AO30" s="57">
        <f>IF(E30=0,0,IF(3=CARTÕES!$F30,CARTÕES!$E30-(CARTÕES!$F30-1)*ROUND(CARTÕES!$E30/CARTÕES!$F30,0),ROUND(CARTÕES!$E30/CARTÕES!$F30,0)))</f>
        <v/>
      </c>
      <c r="AP30" s="57">
        <f>IF(F30=0,0,IF(4=CARTÕES!$F30,CARTÕES!$E30-(CARTÕES!$F30-1)*ROUND(CARTÕES!$E30/CARTÕES!$F30,0),ROUND(CARTÕES!$E30/CARTÕES!$F30,0)))</f>
        <v/>
      </c>
      <c r="AQ30" s="57">
        <f>IF(G30=0,0,IF(5=CARTÕES!$F30,CARTÕES!$E30-(CARTÕES!$F30-1)*ROUND(CARTÕES!$E30/CARTÕES!$F30,0),ROUND(CARTÕES!$E30/CARTÕES!$F30,0)))</f>
        <v/>
      </c>
      <c r="AR30" s="57">
        <f>IF(H30=0,0,IF(6=CARTÕES!$F30,CARTÕES!$E30-(CARTÕES!$F30-1)*ROUND(CARTÕES!$E30/CARTÕES!$F30,0),ROUND(CARTÕES!$E30/CARTÕES!$F30,0)))</f>
        <v/>
      </c>
      <c r="AS30" s="57">
        <f>IF(I30=0,0,IF(7=CARTÕES!$F30,CARTÕES!$E30-(CARTÕES!$F30-1)*ROUND(CARTÕES!$E30/CARTÕES!$F30,0),ROUND(CARTÕES!$E30/CARTÕES!$F30,0)))</f>
        <v/>
      </c>
      <c r="AT30" s="57">
        <f>IF(J30=0,0,IF(8=CARTÕES!$F30,CARTÕES!$E30-(CARTÕES!$F30-1)*ROUND(CARTÕES!$E30/CARTÕES!$F30,0),ROUND(CARTÕES!$E30/CARTÕES!$F30,0)))</f>
        <v/>
      </c>
      <c r="AU30" s="57">
        <f>IF(K30=0,0,IF(9=CARTÕES!$F30,CARTÕES!$E30-(CARTÕES!$F30-1)*ROUND(CARTÕES!$E30/CARTÕES!$F30,0),ROUND(CARTÕES!$E30/CARTÕES!$F30,0)))</f>
        <v/>
      </c>
      <c r="AV30" s="57">
        <f>IF(L30=0,0,IF(10=CARTÕES!$F30,CARTÕES!$E30-(CARTÕES!$F30-1)*ROUND(CARTÕES!$E30/CARTÕES!$F30,0),ROUND(CARTÕES!$E30/CARTÕES!$F30,0)))</f>
        <v/>
      </c>
      <c r="AW30" s="57">
        <f>IF(M30=0,0,IF(11=CARTÕES!$F30,CARTÕES!$E30-(CARTÕES!$F30-1)*ROUND(CARTÕES!$E30/CARTÕES!$F30,0),ROUND(CARTÕES!$E30/CARTÕES!$F30,0)))</f>
        <v/>
      </c>
      <c r="AX30" s="57">
        <f>IF(N30=0,0,IF(12=CARTÕES!$F30,CARTÕES!$E30-(CARTÕES!$F30-1)*ROUND(CARTÕES!$E30/CARTÕES!$F30,0),ROUND(CARTÕES!$E30/CARTÕES!$F30,0)))</f>
        <v/>
      </c>
      <c r="AY30" s="57">
        <f>IF(O30=0,0,IF(13=CARTÕES!$F30,CARTÕES!$E30-(CARTÕES!$F30-1)*ROUND(CARTÕES!$E30/CARTÕES!$F30,0),ROUND(CARTÕES!$E30/CARTÕES!$F30,0)))</f>
        <v/>
      </c>
      <c r="AZ30" s="57">
        <f>IF(P30=0,0,IF(14=CARTÕES!$F30,CARTÕES!$E30-(CARTÕES!$F30-1)*ROUND(CARTÕES!$E30/CARTÕES!$F30,0),ROUND(CARTÕES!$E30/CARTÕES!$F30,0)))</f>
        <v/>
      </c>
      <c r="BA30" s="57">
        <f>IF(Q30=0,0,IF(15=CARTÕES!$F30,CARTÕES!$E30-(CARTÕES!$F30-1)*ROUND(CARTÕES!$E30/CARTÕES!$F30,0),ROUND(CARTÕES!$E30/CARTÕES!$F30,0)))</f>
        <v/>
      </c>
      <c r="BB30" s="57">
        <f>IF(R30=0,0,IF(16=CARTÕES!$F30,CARTÕES!$E30-(CARTÕES!$F30-1)*ROUND(CARTÕES!$E30/CARTÕES!$F30,0),ROUND(CARTÕES!$E30/CARTÕES!$F30,0)))</f>
        <v/>
      </c>
      <c r="BC30" s="57">
        <f>IF(S30=0,0,IF(17=CARTÕES!$F30,CARTÕES!$E30-(CARTÕES!$F30-1)*ROUND(CARTÕES!$E30/CARTÕES!$F30,0),ROUND(CARTÕES!$E30/CARTÕES!$F30,0)))</f>
        <v/>
      </c>
      <c r="BD30" s="57">
        <f>IF(T30=0,0,IF(18=CARTÕES!$F30,CARTÕES!$E30-(CARTÕES!$F30-1)*ROUND(CARTÕES!$E30/CARTÕES!$F30,0),ROUND(CARTÕES!$E30/CARTÕES!$F30,0)))</f>
        <v/>
      </c>
      <c r="BE30" s="57">
        <f>IF(U30=0,0,IF(19=CARTÕES!$F30,CARTÕES!$E30-(CARTÕES!$F30-1)*ROUND(CARTÕES!$E30/CARTÕES!$F30,0),ROUND(CARTÕES!$E30/CARTÕES!$F30,0)))</f>
        <v/>
      </c>
      <c r="BF30" s="57">
        <f>IF(V30=0,0,IF(20=CARTÕES!$F30,CARTÕES!$E30-(CARTÕES!$F30-1)*ROUND(CARTÕES!$E30/CARTÕES!$F30,0),ROUND(CARTÕES!$E30/CARTÕES!$F30,0)))</f>
        <v/>
      </c>
      <c r="BG30" s="57">
        <f>IF(W30=0,0,IF(21=CARTÕES!$F30,CARTÕES!$E30-(CARTÕES!$F30-1)*ROUND(CARTÕES!$E30/CARTÕES!$F30,0),ROUND(CARTÕES!$E30/CARTÕES!$F30,0)))</f>
        <v/>
      </c>
      <c r="BH30" s="57">
        <f>IF(X30=0,0,IF(22=CARTÕES!$F30,CARTÕES!$E30-(CARTÕES!$F30-1)*ROUND(CARTÕES!$E30/CARTÕES!$F30,0),ROUND(CARTÕES!$E30/CARTÕES!$F30,0)))</f>
        <v/>
      </c>
      <c r="BI30" s="57">
        <f>IF(Y30=0,0,IF(23=CARTÕES!$F30,CARTÕES!$E30-(CARTÕES!$F30-1)*ROUND(CARTÕES!$E30/CARTÕES!$F30,0),ROUND(CARTÕES!$E30/CARTÕES!$F30,0)))</f>
        <v/>
      </c>
      <c r="BJ30" s="57">
        <f>IF(Z30=0,0,IF(24=CARTÕES!$F30,CARTÕES!$E30-(CARTÕES!$F30-1)*ROUND(CARTÕES!$E30/CARTÕES!$F30,0),ROUND(CARTÕES!$E30/CARTÕES!$F30,0)))</f>
        <v/>
      </c>
      <c r="BK30" s="57">
        <f>IF(AA30=0,0,IF(25=CARTÕES!$F30,CARTÕES!$E30-(CARTÕES!$F30-1)*ROUND(CARTÕES!$E30/CARTÕES!$F30,0),ROUND(CARTÕES!$E30/CARTÕES!$F30,0)))</f>
        <v/>
      </c>
      <c r="BL30" s="57">
        <f>IF(AB30=0,0,IF(26=CARTÕES!$F30,CARTÕES!$E30-(CARTÕES!$F30-1)*ROUND(CARTÕES!$E30/CARTÕES!$F30,0),ROUND(CARTÕES!$E30/CARTÕES!$F30,0)))</f>
        <v/>
      </c>
      <c r="BM30" s="57">
        <f>IF(AC30=0,0,IF(27=CARTÕES!$F30,CARTÕES!$E30-(CARTÕES!$F30-1)*ROUND(CARTÕES!$E30/CARTÕES!$F30,0),ROUND(CARTÕES!$E30/CARTÕES!$F30,0)))</f>
        <v/>
      </c>
      <c r="BN30" s="57">
        <f>IF(AD30=0,0,IF(28=CARTÕES!$F30,CARTÕES!$E30-(CARTÕES!$F30-1)*ROUND(CARTÕES!$E30/CARTÕES!$F30,0),ROUND(CARTÕES!$E30/CARTÕES!$F30,0)))</f>
        <v/>
      </c>
      <c r="BO30" s="57">
        <f>IF(AE30=0,0,IF(29=CARTÕES!$F30,CARTÕES!$E30-(CARTÕES!$F30-1)*ROUND(CARTÕES!$E30/CARTÕES!$F30,0),ROUND(CARTÕES!$E30/CARTÕES!$F30,0)))</f>
        <v/>
      </c>
      <c r="BP30" s="57">
        <f>IF(AF30=0,0,IF(30=CARTÕES!$F30,CARTÕES!$E30-(CARTÕES!$F30-1)*ROUND(CARTÕES!$E30/CARTÕES!$F30,0),ROUND(CARTÕES!$E30/CARTÕES!$F30,0)))</f>
        <v/>
      </c>
      <c r="BQ30" s="57">
        <f>IF(AG30=0,0,IF(31=CARTÕES!$F30,CARTÕES!$E30-(CARTÕES!$F30-1)*ROUND(CARTÕES!$E30/CARTÕES!$F30,0),ROUND(CARTÕES!$E30/CARTÕES!$F30,0)))</f>
        <v/>
      </c>
      <c r="BR30" s="57">
        <f>IF(AH30=0,0,IF(32=CARTÕES!$F30,CARTÕES!$E30-(CARTÕES!$F30-1)*ROUND(CARTÕES!$E30/CARTÕES!$F30,0),ROUND(CARTÕES!$E30/CARTÕES!$F30,0)))</f>
        <v/>
      </c>
      <c r="BS30" s="57">
        <f>IF(AI30=0,0,IF(33=CARTÕES!$F30,CARTÕES!$E30-(CARTÕES!$F30-1)*ROUND(CARTÕES!$E30/CARTÕES!$F30,0),ROUND(CARTÕES!$E30/CARTÕES!$F30,0)))</f>
        <v/>
      </c>
      <c r="BT30" s="57">
        <f>IF(AJ30=0,0,IF(34=CARTÕES!$F30,CARTÕES!$E30-(CARTÕES!$F30-1)*ROUND(CARTÕES!$E30/CARTÕES!$F30,0),ROUND(CARTÕES!$E30/CARTÕES!$F30,0)))</f>
        <v/>
      </c>
      <c r="BU30" s="57">
        <f>IF(AK30=0,0,IF(35=CARTÕES!$F30,CARTÕES!$E30-(CARTÕES!$F30-1)*ROUND(CARTÕES!$E30/CARTÕES!$F30,0),ROUND(CARTÕES!$E30/CARTÕES!$F30,0)))</f>
        <v/>
      </c>
      <c r="BV30" s="57">
        <f>IF(AL30=0,0,IF(36=CARTÕES!$F30,CARTÕES!$E30-(CARTÕES!$F30-1)*ROUND(CARTÕES!$E30/CARTÕES!$F30,0),ROUND(CARTÕES!$E30/CARTÕES!$F30,0)))</f>
        <v/>
      </c>
    </row>
    <row r="31">
      <c r="A31" s="55">
        <f>IF(CARTÕES!$C31="","",CARTÕES!$C31)</f>
        <v/>
      </c>
      <c r="B31" s="56">
        <f>SUMPRODUCT((C31:AL31='RESUMO MENSAL'!$C$4)*AM31:BV31)</f>
        <v/>
      </c>
      <c r="C31" s="57">
        <f>IF(OR(CARTÕES!$K31=0,CARTÕES!$F31=""),0,IF(1&gt;CARTÕES!$F31,0,CARTÕES!$K31+1-1))</f>
        <v/>
      </c>
      <c r="D31" s="57">
        <f>IF(OR(CARTÕES!$K31=0,CARTÕES!$F31=""),0,IF(2&gt;CARTÕES!$F31,0,CARTÕES!$K31+2-1))</f>
        <v/>
      </c>
      <c r="E31" s="57">
        <f>IF(OR(CARTÕES!$K31=0,CARTÕES!$F31=""),0,IF(3&gt;CARTÕES!$F31,0,CARTÕES!$K31+3-1))</f>
        <v/>
      </c>
      <c r="F31" s="57">
        <f>IF(OR(CARTÕES!$K31=0,CARTÕES!$F31=""),0,IF(4&gt;CARTÕES!$F31,0,CARTÕES!$K31+4-1))</f>
        <v/>
      </c>
      <c r="G31" s="57">
        <f>IF(OR(CARTÕES!$K31=0,CARTÕES!$F31=""),0,IF(5&gt;CARTÕES!$F31,0,CARTÕES!$K31+5-1))</f>
        <v/>
      </c>
      <c r="H31" s="57">
        <f>IF(OR(CARTÕES!$K31=0,CARTÕES!$F31=""),0,IF(6&gt;CARTÕES!$F31,0,CARTÕES!$K31+6-1))</f>
        <v/>
      </c>
      <c r="I31" s="57">
        <f>IF(OR(CARTÕES!$K31=0,CARTÕES!$F31=""),0,IF(7&gt;CARTÕES!$F31,0,CARTÕES!$K31+7-1))</f>
        <v/>
      </c>
      <c r="J31" s="57">
        <f>IF(OR(CARTÕES!$K31=0,CARTÕES!$F31=""),0,IF(8&gt;CARTÕES!$F31,0,CARTÕES!$K31+8-1))</f>
        <v/>
      </c>
      <c r="K31" s="57">
        <f>IF(OR(CARTÕES!$K31=0,CARTÕES!$F31=""),0,IF(9&gt;CARTÕES!$F31,0,CARTÕES!$K31+9-1))</f>
        <v/>
      </c>
      <c r="L31" s="57">
        <f>IF(OR(CARTÕES!$K31=0,CARTÕES!$F31=""),0,IF(10&gt;CARTÕES!$F31,0,CARTÕES!$K31+10-1))</f>
        <v/>
      </c>
      <c r="M31" s="57">
        <f>IF(OR(CARTÕES!$K31=0,CARTÕES!$F31=""),0,IF(11&gt;CARTÕES!$F31,0,CARTÕES!$K31+11-1))</f>
        <v/>
      </c>
      <c r="N31" s="57">
        <f>IF(OR(CARTÕES!$K31=0,CARTÕES!$F31=""),0,IF(12&gt;CARTÕES!$F31,0,CARTÕES!$K31+12-1))</f>
        <v/>
      </c>
      <c r="O31" s="57">
        <f>IF(OR(CARTÕES!$K31=0,CARTÕES!$F31=""),0,IF(13&gt;CARTÕES!$F31,0,CARTÕES!$K31+13-1))</f>
        <v/>
      </c>
      <c r="P31" s="57">
        <f>IF(OR(CARTÕES!$K31=0,CARTÕES!$F31=""),0,IF(14&gt;CARTÕES!$F31,0,CARTÕES!$K31+14-1))</f>
        <v/>
      </c>
      <c r="Q31" s="57">
        <f>IF(OR(CARTÕES!$K31=0,CARTÕES!$F31=""),0,IF(15&gt;CARTÕES!$F31,0,CARTÕES!$K31+15-1))</f>
        <v/>
      </c>
      <c r="R31" s="57">
        <f>IF(OR(CARTÕES!$K31=0,CARTÕES!$F31=""),0,IF(16&gt;CARTÕES!$F31,0,CARTÕES!$K31+16-1))</f>
        <v/>
      </c>
      <c r="S31" s="57">
        <f>IF(OR(CARTÕES!$K31=0,CARTÕES!$F31=""),0,IF(17&gt;CARTÕES!$F31,0,CARTÕES!$K31+17-1))</f>
        <v/>
      </c>
      <c r="T31" s="57">
        <f>IF(OR(CARTÕES!$K31=0,CARTÕES!$F31=""),0,IF(18&gt;CARTÕES!$F31,0,CARTÕES!$K31+18-1))</f>
        <v/>
      </c>
      <c r="U31" s="57">
        <f>IF(OR(CARTÕES!$K31=0,CARTÕES!$F31=""),0,IF(19&gt;CARTÕES!$F31,0,CARTÕES!$K31+19-1))</f>
        <v/>
      </c>
      <c r="V31" s="57">
        <f>IF(OR(CARTÕES!$K31=0,CARTÕES!$F31=""),0,IF(20&gt;CARTÕES!$F31,0,CARTÕES!$K31+20-1))</f>
        <v/>
      </c>
      <c r="W31" s="57">
        <f>IF(OR(CARTÕES!$K31=0,CARTÕES!$F31=""),0,IF(21&gt;CARTÕES!$F31,0,CARTÕES!$K31+21-1))</f>
        <v/>
      </c>
      <c r="X31" s="57">
        <f>IF(OR(CARTÕES!$K31=0,CARTÕES!$F31=""),0,IF(22&gt;CARTÕES!$F31,0,CARTÕES!$K31+22-1))</f>
        <v/>
      </c>
      <c r="Y31" s="57">
        <f>IF(OR(CARTÕES!$K31=0,CARTÕES!$F31=""),0,IF(23&gt;CARTÕES!$F31,0,CARTÕES!$K31+23-1))</f>
        <v/>
      </c>
      <c r="Z31" s="57">
        <f>IF(OR(CARTÕES!$K31=0,CARTÕES!$F31=""),0,IF(24&gt;CARTÕES!$F31,0,CARTÕES!$K31+24-1))</f>
        <v/>
      </c>
      <c r="AA31" s="57">
        <f>IF(OR(CARTÕES!$K31=0,CARTÕES!$F31=""),0,IF(25&gt;CARTÕES!$F31,0,CARTÕES!$K31+25-1))</f>
        <v/>
      </c>
      <c r="AB31" s="57">
        <f>IF(OR(CARTÕES!$K31=0,CARTÕES!$F31=""),0,IF(26&gt;CARTÕES!$F31,0,CARTÕES!$K31+26-1))</f>
        <v/>
      </c>
      <c r="AC31" s="57">
        <f>IF(OR(CARTÕES!$K31=0,CARTÕES!$F31=""),0,IF(27&gt;CARTÕES!$F31,0,CARTÕES!$K31+27-1))</f>
        <v/>
      </c>
      <c r="AD31" s="57">
        <f>IF(OR(CARTÕES!$K31=0,CARTÕES!$F31=""),0,IF(28&gt;CARTÕES!$F31,0,CARTÕES!$K31+28-1))</f>
        <v/>
      </c>
      <c r="AE31" s="57">
        <f>IF(OR(CARTÕES!$K31=0,CARTÕES!$F31=""),0,IF(29&gt;CARTÕES!$F31,0,CARTÕES!$K31+29-1))</f>
        <v/>
      </c>
      <c r="AF31" s="57">
        <f>IF(OR(CARTÕES!$K31=0,CARTÕES!$F31=""),0,IF(30&gt;CARTÕES!$F31,0,CARTÕES!$K31+30-1))</f>
        <v/>
      </c>
      <c r="AG31" s="57">
        <f>IF(OR(CARTÕES!$K31=0,CARTÕES!$F31=""),0,IF(31&gt;CARTÕES!$F31,0,CARTÕES!$K31+31-1))</f>
        <v/>
      </c>
      <c r="AH31" s="57">
        <f>IF(OR(CARTÕES!$K31=0,CARTÕES!$F31=""),0,IF(32&gt;CARTÕES!$F31,0,CARTÕES!$K31+32-1))</f>
        <v/>
      </c>
      <c r="AI31" s="57">
        <f>IF(OR(CARTÕES!$K31=0,CARTÕES!$F31=""),0,IF(33&gt;CARTÕES!$F31,0,CARTÕES!$K31+33-1))</f>
        <v/>
      </c>
      <c r="AJ31" s="57">
        <f>IF(OR(CARTÕES!$K31=0,CARTÕES!$F31=""),0,IF(34&gt;CARTÕES!$F31,0,CARTÕES!$K31+34-1))</f>
        <v/>
      </c>
      <c r="AK31" s="57">
        <f>IF(OR(CARTÕES!$K31=0,CARTÕES!$F31=""),0,IF(35&gt;CARTÕES!$F31,0,CARTÕES!$K31+35-1))</f>
        <v/>
      </c>
      <c r="AL31" s="57">
        <f>IF(OR(CARTÕES!$K31=0,CARTÕES!$F31=""),0,IF(36&gt;CARTÕES!$F31,0,CARTÕES!$K31+36-1))</f>
        <v/>
      </c>
      <c r="AM31" s="57">
        <f>IF(C31=0,0,IF(1=CARTÕES!$F31,CARTÕES!$E31-(CARTÕES!$F31-1)*ROUND(CARTÕES!$E31/CARTÕES!$F31,0),ROUND(CARTÕES!$E31/CARTÕES!$F31,0)))</f>
        <v/>
      </c>
      <c r="AN31" s="57">
        <f>IF(D31=0,0,IF(2=CARTÕES!$F31,CARTÕES!$E31-(CARTÕES!$F31-1)*ROUND(CARTÕES!$E31/CARTÕES!$F31,0),ROUND(CARTÕES!$E31/CARTÕES!$F31,0)))</f>
        <v/>
      </c>
      <c r="AO31" s="57">
        <f>IF(E31=0,0,IF(3=CARTÕES!$F31,CARTÕES!$E31-(CARTÕES!$F31-1)*ROUND(CARTÕES!$E31/CARTÕES!$F31,0),ROUND(CARTÕES!$E31/CARTÕES!$F31,0)))</f>
        <v/>
      </c>
      <c r="AP31" s="57">
        <f>IF(F31=0,0,IF(4=CARTÕES!$F31,CARTÕES!$E31-(CARTÕES!$F31-1)*ROUND(CARTÕES!$E31/CARTÕES!$F31,0),ROUND(CARTÕES!$E31/CARTÕES!$F31,0)))</f>
        <v/>
      </c>
      <c r="AQ31" s="57">
        <f>IF(G31=0,0,IF(5=CARTÕES!$F31,CARTÕES!$E31-(CARTÕES!$F31-1)*ROUND(CARTÕES!$E31/CARTÕES!$F31,0),ROUND(CARTÕES!$E31/CARTÕES!$F31,0)))</f>
        <v/>
      </c>
      <c r="AR31" s="57">
        <f>IF(H31=0,0,IF(6=CARTÕES!$F31,CARTÕES!$E31-(CARTÕES!$F31-1)*ROUND(CARTÕES!$E31/CARTÕES!$F31,0),ROUND(CARTÕES!$E31/CARTÕES!$F31,0)))</f>
        <v/>
      </c>
      <c r="AS31" s="57">
        <f>IF(I31=0,0,IF(7=CARTÕES!$F31,CARTÕES!$E31-(CARTÕES!$F31-1)*ROUND(CARTÕES!$E31/CARTÕES!$F31,0),ROUND(CARTÕES!$E31/CARTÕES!$F31,0)))</f>
        <v/>
      </c>
      <c r="AT31" s="57">
        <f>IF(J31=0,0,IF(8=CARTÕES!$F31,CARTÕES!$E31-(CARTÕES!$F31-1)*ROUND(CARTÕES!$E31/CARTÕES!$F31,0),ROUND(CARTÕES!$E31/CARTÕES!$F31,0)))</f>
        <v/>
      </c>
      <c r="AU31" s="57">
        <f>IF(K31=0,0,IF(9=CARTÕES!$F31,CARTÕES!$E31-(CARTÕES!$F31-1)*ROUND(CARTÕES!$E31/CARTÕES!$F31,0),ROUND(CARTÕES!$E31/CARTÕES!$F31,0)))</f>
        <v/>
      </c>
      <c r="AV31" s="57">
        <f>IF(L31=0,0,IF(10=CARTÕES!$F31,CARTÕES!$E31-(CARTÕES!$F31-1)*ROUND(CARTÕES!$E31/CARTÕES!$F31,0),ROUND(CARTÕES!$E31/CARTÕES!$F31,0)))</f>
        <v/>
      </c>
      <c r="AW31" s="57">
        <f>IF(M31=0,0,IF(11=CARTÕES!$F31,CARTÕES!$E31-(CARTÕES!$F31-1)*ROUND(CARTÕES!$E31/CARTÕES!$F31,0),ROUND(CARTÕES!$E31/CARTÕES!$F31,0)))</f>
        <v/>
      </c>
      <c r="AX31" s="57">
        <f>IF(N31=0,0,IF(12=CARTÕES!$F31,CARTÕES!$E31-(CARTÕES!$F31-1)*ROUND(CARTÕES!$E31/CARTÕES!$F31,0),ROUND(CARTÕES!$E31/CARTÕES!$F31,0)))</f>
        <v/>
      </c>
      <c r="AY31" s="57">
        <f>IF(O31=0,0,IF(13=CARTÕES!$F31,CARTÕES!$E31-(CARTÕES!$F31-1)*ROUND(CARTÕES!$E31/CARTÕES!$F31,0),ROUND(CARTÕES!$E31/CARTÕES!$F31,0)))</f>
        <v/>
      </c>
      <c r="AZ31" s="57">
        <f>IF(P31=0,0,IF(14=CARTÕES!$F31,CARTÕES!$E31-(CARTÕES!$F31-1)*ROUND(CARTÕES!$E31/CARTÕES!$F31,0),ROUND(CARTÕES!$E31/CARTÕES!$F31,0)))</f>
        <v/>
      </c>
      <c r="BA31" s="57">
        <f>IF(Q31=0,0,IF(15=CARTÕES!$F31,CARTÕES!$E31-(CARTÕES!$F31-1)*ROUND(CARTÕES!$E31/CARTÕES!$F31,0),ROUND(CARTÕES!$E31/CARTÕES!$F31,0)))</f>
        <v/>
      </c>
      <c r="BB31" s="57">
        <f>IF(R31=0,0,IF(16=CARTÕES!$F31,CARTÕES!$E31-(CARTÕES!$F31-1)*ROUND(CARTÕES!$E31/CARTÕES!$F31,0),ROUND(CARTÕES!$E31/CARTÕES!$F31,0)))</f>
        <v/>
      </c>
      <c r="BC31" s="57">
        <f>IF(S31=0,0,IF(17=CARTÕES!$F31,CARTÕES!$E31-(CARTÕES!$F31-1)*ROUND(CARTÕES!$E31/CARTÕES!$F31,0),ROUND(CARTÕES!$E31/CARTÕES!$F31,0)))</f>
        <v/>
      </c>
      <c r="BD31" s="57">
        <f>IF(T31=0,0,IF(18=CARTÕES!$F31,CARTÕES!$E31-(CARTÕES!$F31-1)*ROUND(CARTÕES!$E31/CARTÕES!$F31,0),ROUND(CARTÕES!$E31/CARTÕES!$F31,0)))</f>
        <v/>
      </c>
      <c r="BE31" s="57">
        <f>IF(U31=0,0,IF(19=CARTÕES!$F31,CARTÕES!$E31-(CARTÕES!$F31-1)*ROUND(CARTÕES!$E31/CARTÕES!$F31,0),ROUND(CARTÕES!$E31/CARTÕES!$F31,0)))</f>
        <v/>
      </c>
      <c r="BF31" s="57">
        <f>IF(V31=0,0,IF(20=CARTÕES!$F31,CARTÕES!$E31-(CARTÕES!$F31-1)*ROUND(CARTÕES!$E31/CARTÕES!$F31,0),ROUND(CARTÕES!$E31/CARTÕES!$F31,0)))</f>
        <v/>
      </c>
      <c r="BG31" s="57">
        <f>IF(W31=0,0,IF(21=CARTÕES!$F31,CARTÕES!$E31-(CARTÕES!$F31-1)*ROUND(CARTÕES!$E31/CARTÕES!$F31,0),ROUND(CARTÕES!$E31/CARTÕES!$F31,0)))</f>
        <v/>
      </c>
      <c r="BH31" s="57">
        <f>IF(X31=0,0,IF(22=CARTÕES!$F31,CARTÕES!$E31-(CARTÕES!$F31-1)*ROUND(CARTÕES!$E31/CARTÕES!$F31,0),ROUND(CARTÕES!$E31/CARTÕES!$F31,0)))</f>
        <v/>
      </c>
      <c r="BI31" s="57">
        <f>IF(Y31=0,0,IF(23=CARTÕES!$F31,CARTÕES!$E31-(CARTÕES!$F31-1)*ROUND(CARTÕES!$E31/CARTÕES!$F31,0),ROUND(CARTÕES!$E31/CARTÕES!$F31,0)))</f>
        <v/>
      </c>
      <c r="BJ31" s="57">
        <f>IF(Z31=0,0,IF(24=CARTÕES!$F31,CARTÕES!$E31-(CARTÕES!$F31-1)*ROUND(CARTÕES!$E31/CARTÕES!$F31,0),ROUND(CARTÕES!$E31/CARTÕES!$F31,0)))</f>
        <v/>
      </c>
      <c r="BK31" s="57">
        <f>IF(AA31=0,0,IF(25=CARTÕES!$F31,CARTÕES!$E31-(CARTÕES!$F31-1)*ROUND(CARTÕES!$E31/CARTÕES!$F31,0),ROUND(CARTÕES!$E31/CARTÕES!$F31,0)))</f>
        <v/>
      </c>
      <c r="BL31" s="57">
        <f>IF(AB31=0,0,IF(26=CARTÕES!$F31,CARTÕES!$E31-(CARTÕES!$F31-1)*ROUND(CARTÕES!$E31/CARTÕES!$F31,0),ROUND(CARTÕES!$E31/CARTÕES!$F31,0)))</f>
        <v/>
      </c>
      <c r="BM31" s="57">
        <f>IF(AC31=0,0,IF(27=CARTÕES!$F31,CARTÕES!$E31-(CARTÕES!$F31-1)*ROUND(CARTÕES!$E31/CARTÕES!$F31,0),ROUND(CARTÕES!$E31/CARTÕES!$F31,0)))</f>
        <v/>
      </c>
      <c r="BN31" s="57">
        <f>IF(AD31=0,0,IF(28=CARTÕES!$F31,CARTÕES!$E31-(CARTÕES!$F31-1)*ROUND(CARTÕES!$E31/CARTÕES!$F31,0),ROUND(CARTÕES!$E31/CARTÕES!$F31,0)))</f>
        <v/>
      </c>
      <c r="BO31" s="57">
        <f>IF(AE31=0,0,IF(29=CARTÕES!$F31,CARTÕES!$E31-(CARTÕES!$F31-1)*ROUND(CARTÕES!$E31/CARTÕES!$F31,0),ROUND(CARTÕES!$E31/CARTÕES!$F31,0)))</f>
        <v/>
      </c>
      <c r="BP31" s="57">
        <f>IF(AF31=0,0,IF(30=CARTÕES!$F31,CARTÕES!$E31-(CARTÕES!$F31-1)*ROUND(CARTÕES!$E31/CARTÕES!$F31,0),ROUND(CARTÕES!$E31/CARTÕES!$F31,0)))</f>
        <v/>
      </c>
      <c r="BQ31" s="57">
        <f>IF(AG31=0,0,IF(31=CARTÕES!$F31,CARTÕES!$E31-(CARTÕES!$F31-1)*ROUND(CARTÕES!$E31/CARTÕES!$F31,0),ROUND(CARTÕES!$E31/CARTÕES!$F31,0)))</f>
        <v/>
      </c>
      <c r="BR31" s="57">
        <f>IF(AH31=0,0,IF(32=CARTÕES!$F31,CARTÕES!$E31-(CARTÕES!$F31-1)*ROUND(CARTÕES!$E31/CARTÕES!$F31,0),ROUND(CARTÕES!$E31/CARTÕES!$F31,0)))</f>
        <v/>
      </c>
      <c r="BS31" s="57">
        <f>IF(AI31=0,0,IF(33=CARTÕES!$F31,CARTÕES!$E31-(CARTÕES!$F31-1)*ROUND(CARTÕES!$E31/CARTÕES!$F31,0),ROUND(CARTÕES!$E31/CARTÕES!$F31,0)))</f>
        <v/>
      </c>
      <c r="BT31" s="57">
        <f>IF(AJ31=0,0,IF(34=CARTÕES!$F31,CARTÕES!$E31-(CARTÕES!$F31-1)*ROUND(CARTÕES!$E31/CARTÕES!$F31,0),ROUND(CARTÕES!$E31/CARTÕES!$F31,0)))</f>
        <v/>
      </c>
      <c r="BU31" s="57">
        <f>IF(AK31=0,0,IF(35=CARTÕES!$F31,CARTÕES!$E31-(CARTÕES!$F31-1)*ROUND(CARTÕES!$E31/CARTÕES!$F31,0),ROUND(CARTÕES!$E31/CARTÕES!$F31,0)))</f>
        <v/>
      </c>
      <c r="BV31" s="57">
        <f>IF(AL31=0,0,IF(36=CARTÕES!$F31,CARTÕES!$E31-(CARTÕES!$F31-1)*ROUND(CARTÕES!$E31/CARTÕES!$F31,0),ROUND(CARTÕES!$E31/CARTÕES!$F31,0)))</f>
        <v/>
      </c>
    </row>
    <row r="32">
      <c r="A32" s="55">
        <f>IF(CARTÕES!$C32="","",CARTÕES!$C32)</f>
        <v/>
      </c>
      <c r="B32" s="56">
        <f>SUMPRODUCT((C32:AL32='RESUMO MENSAL'!$C$4)*AM32:BV32)</f>
        <v/>
      </c>
      <c r="C32" s="57">
        <f>IF(OR(CARTÕES!$K32=0,CARTÕES!$F32=""),0,IF(1&gt;CARTÕES!$F32,0,CARTÕES!$K32+1-1))</f>
        <v/>
      </c>
      <c r="D32" s="57">
        <f>IF(OR(CARTÕES!$K32=0,CARTÕES!$F32=""),0,IF(2&gt;CARTÕES!$F32,0,CARTÕES!$K32+2-1))</f>
        <v/>
      </c>
      <c r="E32" s="57">
        <f>IF(OR(CARTÕES!$K32=0,CARTÕES!$F32=""),0,IF(3&gt;CARTÕES!$F32,0,CARTÕES!$K32+3-1))</f>
        <v/>
      </c>
      <c r="F32" s="57">
        <f>IF(OR(CARTÕES!$K32=0,CARTÕES!$F32=""),0,IF(4&gt;CARTÕES!$F32,0,CARTÕES!$K32+4-1))</f>
        <v/>
      </c>
      <c r="G32" s="57">
        <f>IF(OR(CARTÕES!$K32=0,CARTÕES!$F32=""),0,IF(5&gt;CARTÕES!$F32,0,CARTÕES!$K32+5-1))</f>
        <v/>
      </c>
      <c r="H32" s="57">
        <f>IF(OR(CARTÕES!$K32=0,CARTÕES!$F32=""),0,IF(6&gt;CARTÕES!$F32,0,CARTÕES!$K32+6-1))</f>
        <v/>
      </c>
      <c r="I32" s="57">
        <f>IF(OR(CARTÕES!$K32=0,CARTÕES!$F32=""),0,IF(7&gt;CARTÕES!$F32,0,CARTÕES!$K32+7-1))</f>
        <v/>
      </c>
      <c r="J32" s="57">
        <f>IF(OR(CARTÕES!$K32=0,CARTÕES!$F32=""),0,IF(8&gt;CARTÕES!$F32,0,CARTÕES!$K32+8-1))</f>
        <v/>
      </c>
      <c r="K32" s="57">
        <f>IF(OR(CARTÕES!$K32=0,CARTÕES!$F32=""),0,IF(9&gt;CARTÕES!$F32,0,CARTÕES!$K32+9-1))</f>
        <v/>
      </c>
      <c r="L32" s="57">
        <f>IF(OR(CARTÕES!$K32=0,CARTÕES!$F32=""),0,IF(10&gt;CARTÕES!$F32,0,CARTÕES!$K32+10-1))</f>
        <v/>
      </c>
      <c r="M32" s="57">
        <f>IF(OR(CARTÕES!$K32=0,CARTÕES!$F32=""),0,IF(11&gt;CARTÕES!$F32,0,CARTÕES!$K32+11-1))</f>
        <v/>
      </c>
      <c r="N32" s="57">
        <f>IF(OR(CARTÕES!$K32=0,CARTÕES!$F32=""),0,IF(12&gt;CARTÕES!$F32,0,CARTÕES!$K32+12-1))</f>
        <v/>
      </c>
      <c r="O32" s="57">
        <f>IF(OR(CARTÕES!$K32=0,CARTÕES!$F32=""),0,IF(13&gt;CARTÕES!$F32,0,CARTÕES!$K32+13-1))</f>
        <v/>
      </c>
      <c r="P32" s="57">
        <f>IF(OR(CARTÕES!$K32=0,CARTÕES!$F32=""),0,IF(14&gt;CARTÕES!$F32,0,CARTÕES!$K32+14-1))</f>
        <v/>
      </c>
      <c r="Q32" s="57">
        <f>IF(OR(CARTÕES!$K32=0,CARTÕES!$F32=""),0,IF(15&gt;CARTÕES!$F32,0,CARTÕES!$K32+15-1))</f>
        <v/>
      </c>
      <c r="R32" s="57">
        <f>IF(OR(CARTÕES!$K32=0,CARTÕES!$F32=""),0,IF(16&gt;CARTÕES!$F32,0,CARTÕES!$K32+16-1))</f>
        <v/>
      </c>
      <c r="S32" s="57">
        <f>IF(OR(CARTÕES!$K32=0,CARTÕES!$F32=""),0,IF(17&gt;CARTÕES!$F32,0,CARTÕES!$K32+17-1))</f>
        <v/>
      </c>
      <c r="T32" s="57">
        <f>IF(OR(CARTÕES!$K32=0,CARTÕES!$F32=""),0,IF(18&gt;CARTÕES!$F32,0,CARTÕES!$K32+18-1))</f>
        <v/>
      </c>
      <c r="U32" s="57">
        <f>IF(OR(CARTÕES!$K32=0,CARTÕES!$F32=""),0,IF(19&gt;CARTÕES!$F32,0,CARTÕES!$K32+19-1))</f>
        <v/>
      </c>
      <c r="V32" s="57">
        <f>IF(OR(CARTÕES!$K32=0,CARTÕES!$F32=""),0,IF(20&gt;CARTÕES!$F32,0,CARTÕES!$K32+20-1))</f>
        <v/>
      </c>
      <c r="W32" s="57">
        <f>IF(OR(CARTÕES!$K32=0,CARTÕES!$F32=""),0,IF(21&gt;CARTÕES!$F32,0,CARTÕES!$K32+21-1))</f>
        <v/>
      </c>
      <c r="X32" s="57">
        <f>IF(OR(CARTÕES!$K32=0,CARTÕES!$F32=""),0,IF(22&gt;CARTÕES!$F32,0,CARTÕES!$K32+22-1))</f>
        <v/>
      </c>
      <c r="Y32" s="57">
        <f>IF(OR(CARTÕES!$K32=0,CARTÕES!$F32=""),0,IF(23&gt;CARTÕES!$F32,0,CARTÕES!$K32+23-1))</f>
        <v/>
      </c>
      <c r="Z32" s="57">
        <f>IF(OR(CARTÕES!$K32=0,CARTÕES!$F32=""),0,IF(24&gt;CARTÕES!$F32,0,CARTÕES!$K32+24-1))</f>
        <v/>
      </c>
      <c r="AA32" s="57">
        <f>IF(OR(CARTÕES!$K32=0,CARTÕES!$F32=""),0,IF(25&gt;CARTÕES!$F32,0,CARTÕES!$K32+25-1))</f>
        <v/>
      </c>
      <c r="AB32" s="57">
        <f>IF(OR(CARTÕES!$K32=0,CARTÕES!$F32=""),0,IF(26&gt;CARTÕES!$F32,0,CARTÕES!$K32+26-1))</f>
        <v/>
      </c>
      <c r="AC32" s="57">
        <f>IF(OR(CARTÕES!$K32=0,CARTÕES!$F32=""),0,IF(27&gt;CARTÕES!$F32,0,CARTÕES!$K32+27-1))</f>
        <v/>
      </c>
      <c r="AD32" s="57">
        <f>IF(OR(CARTÕES!$K32=0,CARTÕES!$F32=""),0,IF(28&gt;CARTÕES!$F32,0,CARTÕES!$K32+28-1))</f>
        <v/>
      </c>
      <c r="AE32" s="57">
        <f>IF(OR(CARTÕES!$K32=0,CARTÕES!$F32=""),0,IF(29&gt;CARTÕES!$F32,0,CARTÕES!$K32+29-1))</f>
        <v/>
      </c>
      <c r="AF32" s="57">
        <f>IF(OR(CARTÕES!$K32=0,CARTÕES!$F32=""),0,IF(30&gt;CARTÕES!$F32,0,CARTÕES!$K32+30-1))</f>
        <v/>
      </c>
      <c r="AG32" s="57">
        <f>IF(OR(CARTÕES!$K32=0,CARTÕES!$F32=""),0,IF(31&gt;CARTÕES!$F32,0,CARTÕES!$K32+31-1))</f>
        <v/>
      </c>
      <c r="AH32" s="57">
        <f>IF(OR(CARTÕES!$K32=0,CARTÕES!$F32=""),0,IF(32&gt;CARTÕES!$F32,0,CARTÕES!$K32+32-1))</f>
        <v/>
      </c>
      <c r="AI32" s="57">
        <f>IF(OR(CARTÕES!$K32=0,CARTÕES!$F32=""),0,IF(33&gt;CARTÕES!$F32,0,CARTÕES!$K32+33-1))</f>
        <v/>
      </c>
      <c r="AJ32" s="57">
        <f>IF(OR(CARTÕES!$K32=0,CARTÕES!$F32=""),0,IF(34&gt;CARTÕES!$F32,0,CARTÕES!$K32+34-1))</f>
        <v/>
      </c>
      <c r="AK32" s="57">
        <f>IF(OR(CARTÕES!$K32=0,CARTÕES!$F32=""),0,IF(35&gt;CARTÕES!$F32,0,CARTÕES!$K32+35-1))</f>
        <v/>
      </c>
      <c r="AL32" s="57">
        <f>IF(OR(CARTÕES!$K32=0,CARTÕES!$F32=""),0,IF(36&gt;CARTÕES!$F32,0,CARTÕES!$K32+36-1))</f>
        <v/>
      </c>
      <c r="AM32" s="57">
        <f>IF(C32=0,0,IF(1=CARTÕES!$F32,CARTÕES!$E32-(CARTÕES!$F32-1)*ROUND(CARTÕES!$E32/CARTÕES!$F32,0),ROUND(CARTÕES!$E32/CARTÕES!$F32,0)))</f>
        <v/>
      </c>
      <c r="AN32" s="57">
        <f>IF(D32=0,0,IF(2=CARTÕES!$F32,CARTÕES!$E32-(CARTÕES!$F32-1)*ROUND(CARTÕES!$E32/CARTÕES!$F32,0),ROUND(CARTÕES!$E32/CARTÕES!$F32,0)))</f>
        <v/>
      </c>
      <c r="AO32" s="57">
        <f>IF(E32=0,0,IF(3=CARTÕES!$F32,CARTÕES!$E32-(CARTÕES!$F32-1)*ROUND(CARTÕES!$E32/CARTÕES!$F32,0),ROUND(CARTÕES!$E32/CARTÕES!$F32,0)))</f>
        <v/>
      </c>
      <c r="AP32" s="57">
        <f>IF(F32=0,0,IF(4=CARTÕES!$F32,CARTÕES!$E32-(CARTÕES!$F32-1)*ROUND(CARTÕES!$E32/CARTÕES!$F32,0),ROUND(CARTÕES!$E32/CARTÕES!$F32,0)))</f>
        <v/>
      </c>
      <c r="AQ32" s="57">
        <f>IF(G32=0,0,IF(5=CARTÕES!$F32,CARTÕES!$E32-(CARTÕES!$F32-1)*ROUND(CARTÕES!$E32/CARTÕES!$F32,0),ROUND(CARTÕES!$E32/CARTÕES!$F32,0)))</f>
        <v/>
      </c>
      <c r="AR32" s="57">
        <f>IF(H32=0,0,IF(6=CARTÕES!$F32,CARTÕES!$E32-(CARTÕES!$F32-1)*ROUND(CARTÕES!$E32/CARTÕES!$F32,0),ROUND(CARTÕES!$E32/CARTÕES!$F32,0)))</f>
        <v/>
      </c>
      <c r="AS32" s="57">
        <f>IF(I32=0,0,IF(7=CARTÕES!$F32,CARTÕES!$E32-(CARTÕES!$F32-1)*ROUND(CARTÕES!$E32/CARTÕES!$F32,0),ROUND(CARTÕES!$E32/CARTÕES!$F32,0)))</f>
        <v/>
      </c>
      <c r="AT32" s="57">
        <f>IF(J32=0,0,IF(8=CARTÕES!$F32,CARTÕES!$E32-(CARTÕES!$F32-1)*ROUND(CARTÕES!$E32/CARTÕES!$F32,0),ROUND(CARTÕES!$E32/CARTÕES!$F32,0)))</f>
        <v/>
      </c>
      <c r="AU32" s="57">
        <f>IF(K32=0,0,IF(9=CARTÕES!$F32,CARTÕES!$E32-(CARTÕES!$F32-1)*ROUND(CARTÕES!$E32/CARTÕES!$F32,0),ROUND(CARTÕES!$E32/CARTÕES!$F32,0)))</f>
        <v/>
      </c>
      <c r="AV32" s="57">
        <f>IF(L32=0,0,IF(10=CARTÕES!$F32,CARTÕES!$E32-(CARTÕES!$F32-1)*ROUND(CARTÕES!$E32/CARTÕES!$F32,0),ROUND(CARTÕES!$E32/CARTÕES!$F32,0)))</f>
        <v/>
      </c>
      <c r="AW32" s="57">
        <f>IF(M32=0,0,IF(11=CARTÕES!$F32,CARTÕES!$E32-(CARTÕES!$F32-1)*ROUND(CARTÕES!$E32/CARTÕES!$F32,0),ROUND(CARTÕES!$E32/CARTÕES!$F32,0)))</f>
        <v/>
      </c>
      <c r="AX32" s="57">
        <f>IF(N32=0,0,IF(12=CARTÕES!$F32,CARTÕES!$E32-(CARTÕES!$F32-1)*ROUND(CARTÕES!$E32/CARTÕES!$F32,0),ROUND(CARTÕES!$E32/CARTÕES!$F32,0)))</f>
        <v/>
      </c>
      <c r="AY32" s="57">
        <f>IF(O32=0,0,IF(13=CARTÕES!$F32,CARTÕES!$E32-(CARTÕES!$F32-1)*ROUND(CARTÕES!$E32/CARTÕES!$F32,0),ROUND(CARTÕES!$E32/CARTÕES!$F32,0)))</f>
        <v/>
      </c>
      <c r="AZ32" s="57">
        <f>IF(P32=0,0,IF(14=CARTÕES!$F32,CARTÕES!$E32-(CARTÕES!$F32-1)*ROUND(CARTÕES!$E32/CARTÕES!$F32,0),ROUND(CARTÕES!$E32/CARTÕES!$F32,0)))</f>
        <v/>
      </c>
      <c r="BA32" s="57">
        <f>IF(Q32=0,0,IF(15=CARTÕES!$F32,CARTÕES!$E32-(CARTÕES!$F32-1)*ROUND(CARTÕES!$E32/CARTÕES!$F32,0),ROUND(CARTÕES!$E32/CARTÕES!$F32,0)))</f>
        <v/>
      </c>
      <c r="BB32" s="57">
        <f>IF(R32=0,0,IF(16=CARTÕES!$F32,CARTÕES!$E32-(CARTÕES!$F32-1)*ROUND(CARTÕES!$E32/CARTÕES!$F32,0),ROUND(CARTÕES!$E32/CARTÕES!$F32,0)))</f>
        <v/>
      </c>
      <c r="BC32" s="57">
        <f>IF(S32=0,0,IF(17=CARTÕES!$F32,CARTÕES!$E32-(CARTÕES!$F32-1)*ROUND(CARTÕES!$E32/CARTÕES!$F32,0),ROUND(CARTÕES!$E32/CARTÕES!$F32,0)))</f>
        <v/>
      </c>
      <c r="BD32" s="57">
        <f>IF(T32=0,0,IF(18=CARTÕES!$F32,CARTÕES!$E32-(CARTÕES!$F32-1)*ROUND(CARTÕES!$E32/CARTÕES!$F32,0),ROUND(CARTÕES!$E32/CARTÕES!$F32,0)))</f>
        <v/>
      </c>
      <c r="BE32" s="57">
        <f>IF(U32=0,0,IF(19=CARTÕES!$F32,CARTÕES!$E32-(CARTÕES!$F32-1)*ROUND(CARTÕES!$E32/CARTÕES!$F32,0),ROUND(CARTÕES!$E32/CARTÕES!$F32,0)))</f>
        <v/>
      </c>
      <c r="BF32" s="57">
        <f>IF(V32=0,0,IF(20=CARTÕES!$F32,CARTÕES!$E32-(CARTÕES!$F32-1)*ROUND(CARTÕES!$E32/CARTÕES!$F32,0),ROUND(CARTÕES!$E32/CARTÕES!$F32,0)))</f>
        <v/>
      </c>
      <c r="BG32" s="57">
        <f>IF(W32=0,0,IF(21=CARTÕES!$F32,CARTÕES!$E32-(CARTÕES!$F32-1)*ROUND(CARTÕES!$E32/CARTÕES!$F32,0),ROUND(CARTÕES!$E32/CARTÕES!$F32,0)))</f>
        <v/>
      </c>
      <c r="BH32" s="57">
        <f>IF(X32=0,0,IF(22=CARTÕES!$F32,CARTÕES!$E32-(CARTÕES!$F32-1)*ROUND(CARTÕES!$E32/CARTÕES!$F32,0),ROUND(CARTÕES!$E32/CARTÕES!$F32,0)))</f>
        <v/>
      </c>
      <c r="BI32" s="57">
        <f>IF(Y32=0,0,IF(23=CARTÕES!$F32,CARTÕES!$E32-(CARTÕES!$F32-1)*ROUND(CARTÕES!$E32/CARTÕES!$F32,0),ROUND(CARTÕES!$E32/CARTÕES!$F32,0)))</f>
        <v/>
      </c>
      <c r="BJ32" s="57">
        <f>IF(Z32=0,0,IF(24=CARTÕES!$F32,CARTÕES!$E32-(CARTÕES!$F32-1)*ROUND(CARTÕES!$E32/CARTÕES!$F32,0),ROUND(CARTÕES!$E32/CARTÕES!$F32,0)))</f>
        <v/>
      </c>
      <c r="BK32" s="57">
        <f>IF(AA32=0,0,IF(25=CARTÕES!$F32,CARTÕES!$E32-(CARTÕES!$F32-1)*ROUND(CARTÕES!$E32/CARTÕES!$F32,0),ROUND(CARTÕES!$E32/CARTÕES!$F32,0)))</f>
        <v/>
      </c>
      <c r="BL32" s="57">
        <f>IF(AB32=0,0,IF(26=CARTÕES!$F32,CARTÕES!$E32-(CARTÕES!$F32-1)*ROUND(CARTÕES!$E32/CARTÕES!$F32,0),ROUND(CARTÕES!$E32/CARTÕES!$F32,0)))</f>
        <v/>
      </c>
      <c r="BM32" s="57">
        <f>IF(AC32=0,0,IF(27=CARTÕES!$F32,CARTÕES!$E32-(CARTÕES!$F32-1)*ROUND(CARTÕES!$E32/CARTÕES!$F32,0),ROUND(CARTÕES!$E32/CARTÕES!$F32,0)))</f>
        <v/>
      </c>
      <c r="BN32" s="57">
        <f>IF(AD32=0,0,IF(28=CARTÕES!$F32,CARTÕES!$E32-(CARTÕES!$F32-1)*ROUND(CARTÕES!$E32/CARTÕES!$F32,0),ROUND(CARTÕES!$E32/CARTÕES!$F32,0)))</f>
        <v/>
      </c>
      <c r="BO32" s="57">
        <f>IF(AE32=0,0,IF(29=CARTÕES!$F32,CARTÕES!$E32-(CARTÕES!$F32-1)*ROUND(CARTÕES!$E32/CARTÕES!$F32,0),ROUND(CARTÕES!$E32/CARTÕES!$F32,0)))</f>
        <v/>
      </c>
      <c r="BP32" s="57">
        <f>IF(AF32=0,0,IF(30=CARTÕES!$F32,CARTÕES!$E32-(CARTÕES!$F32-1)*ROUND(CARTÕES!$E32/CARTÕES!$F32,0),ROUND(CARTÕES!$E32/CARTÕES!$F32,0)))</f>
        <v/>
      </c>
      <c r="BQ32" s="57">
        <f>IF(AG32=0,0,IF(31=CARTÕES!$F32,CARTÕES!$E32-(CARTÕES!$F32-1)*ROUND(CARTÕES!$E32/CARTÕES!$F32,0),ROUND(CARTÕES!$E32/CARTÕES!$F32,0)))</f>
        <v/>
      </c>
      <c r="BR32" s="57">
        <f>IF(AH32=0,0,IF(32=CARTÕES!$F32,CARTÕES!$E32-(CARTÕES!$F32-1)*ROUND(CARTÕES!$E32/CARTÕES!$F32,0),ROUND(CARTÕES!$E32/CARTÕES!$F32,0)))</f>
        <v/>
      </c>
      <c r="BS32" s="57">
        <f>IF(AI32=0,0,IF(33=CARTÕES!$F32,CARTÕES!$E32-(CARTÕES!$F32-1)*ROUND(CARTÕES!$E32/CARTÕES!$F32,0),ROUND(CARTÕES!$E32/CARTÕES!$F32,0)))</f>
        <v/>
      </c>
      <c r="BT32" s="57">
        <f>IF(AJ32=0,0,IF(34=CARTÕES!$F32,CARTÕES!$E32-(CARTÕES!$F32-1)*ROUND(CARTÕES!$E32/CARTÕES!$F32,0),ROUND(CARTÕES!$E32/CARTÕES!$F32,0)))</f>
        <v/>
      </c>
      <c r="BU32" s="57">
        <f>IF(AK32=0,0,IF(35=CARTÕES!$F32,CARTÕES!$E32-(CARTÕES!$F32-1)*ROUND(CARTÕES!$E32/CARTÕES!$F32,0),ROUND(CARTÕES!$E32/CARTÕES!$F32,0)))</f>
        <v/>
      </c>
      <c r="BV32" s="57">
        <f>IF(AL32=0,0,IF(36=CARTÕES!$F32,CARTÕES!$E32-(CARTÕES!$F32-1)*ROUND(CARTÕES!$E32/CARTÕES!$F32,0),ROUND(CARTÕES!$E32/CARTÕES!$F32,0)))</f>
        <v/>
      </c>
    </row>
    <row r="33">
      <c r="A33" s="55">
        <f>IF(CARTÕES!$C33="","",CARTÕES!$C33)</f>
        <v/>
      </c>
      <c r="B33" s="56">
        <f>SUMPRODUCT((C33:AL33='RESUMO MENSAL'!$C$4)*AM33:BV33)</f>
        <v/>
      </c>
      <c r="C33" s="57">
        <f>IF(OR(CARTÕES!$K33=0,CARTÕES!$F33=""),0,IF(1&gt;CARTÕES!$F33,0,CARTÕES!$K33+1-1))</f>
        <v/>
      </c>
      <c r="D33" s="57">
        <f>IF(OR(CARTÕES!$K33=0,CARTÕES!$F33=""),0,IF(2&gt;CARTÕES!$F33,0,CARTÕES!$K33+2-1))</f>
        <v/>
      </c>
      <c r="E33" s="57">
        <f>IF(OR(CARTÕES!$K33=0,CARTÕES!$F33=""),0,IF(3&gt;CARTÕES!$F33,0,CARTÕES!$K33+3-1))</f>
        <v/>
      </c>
      <c r="F33" s="57">
        <f>IF(OR(CARTÕES!$K33=0,CARTÕES!$F33=""),0,IF(4&gt;CARTÕES!$F33,0,CARTÕES!$K33+4-1))</f>
        <v/>
      </c>
      <c r="G33" s="57">
        <f>IF(OR(CARTÕES!$K33=0,CARTÕES!$F33=""),0,IF(5&gt;CARTÕES!$F33,0,CARTÕES!$K33+5-1))</f>
        <v/>
      </c>
      <c r="H33" s="57">
        <f>IF(OR(CARTÕES!$K33=0,CARTÕES!$F33=""),0,IF(6&gt;CARTÕES!$F33,0,CARTÕES!$K33+6-1))</f>
        <v/>
      </c>
      <c r="I33" s="57">
        <f>IF(OR(CARTÕES!$K33=0,CARTÕES!$F33=""),0,IF(7&gt;CARTÕES!$F33,0,CARTÕES!$K33+7-1))</f>
        <v/>
      </c>
      <c r="J33" s="57">
        <f>IF(OR(CARTÕES!$K33=0,CARTÕES!$F33=""),0,IF(8&gt;CARTÕES!$F33,0,CARTÕES!$K33+8-1))</f>
        <v/>
      </c>
      <c r="K33" s="57">
        <f>IF(OR(CARTÕES!$K33=0,CARTÕES!$F33=""),0,IF(9&gt;CARTÕES!$F33,0,CARTÕES!$K33+9-1))</f>
        <v/>
      </c>
      <c r="L33" s="57">
        <f>IF(OR(CARTÕES!$K33=0,CARTÕES!$F33=""),0,IF(10&gt;CARTÕES!$F33,0,CARTÕES!$K33+10-1))</f>
        <v/>
      </c>
      <c r="M33" s="57">
        <f>IF(OR(CARTÕES!$K33=0,CARTÕES!$F33=""),0,IF(11&gt;CARTÕES!$F33,0,CARTÕES!$K33+11-1))</f>
        <v/>
      </c>
      <c r="N33" s="57">
        <f>IF(OR(CARTÕES!$K33=0,CARTÕES!$F33=""),0,IF(12&gt;CARTÕES!$F33,0,CARTÕES!$K33+12-1))</f>
        <v/>
      </c>
      <c r="O33" s="57">
        <f>IF(OR(CARTÕES!$K33=0,CARTÕES!$F33=""),0,IF(13&gt;CARTÕES!$F33,0,CARTÕES!$K33+13-1))</f>
        <v/>
      </c>
      <c r="P33" s="57">
        <f>IF(OR(CARTÕES!$K33=0,CARTÕES!$F33=""),0,IF(14&gt;CARTÕES!$F33,0,CARTÕES!$K33+14-1))</f>
        <v/>
      </c>
      <c r="Q33" s="57">
        <f>IF(OR(CARTÕES!$K33=0,CARTÕES!$F33=""),0,IF(15&gt;CARTÕES!$F33,0,CARTÕES!$K33+15-1))</f>
        <v/>
      </c>
      <c r="R33" s="57">
        <f>IF(OR(CARTÕES!$K33=0,CARTÕES!$F33=""),0,IF(16&gt;CARTÕES!$F33,0,CARTÕES!$K33+16-1))</f>
        <v/>
      </c>
      <c r="S33" s="57">
        <f>IF(OR(CARTÕES!$K33=0,CARTÕES!$F33=""),0,IF(17&gt;CARTÕES!$F33,0,CARTÕES!$K33+17-1))</f>
        <v/>
      </c>
      <c r="T33" s="57">
        <f>IF(OR(CARTÕES!$K33=0,CARTÕES!$F33=""),0,IF(18&gt;CARTÕES!$F33,0,CARTÕES!$K33+18-1))</f>
        <v/>
      </c>
      <c r="U33" s="57">
        <f>IF(OR(CARTÕES!$K33=0,CARTÕES!$F33=""),0,IF(19&gt;CARTÕES!$F33,0,CARTÕES!$K33+19-1))</f>
        <v/>
      </c>
      <c r="V33" s="57">
        <f>IF(OR(CARTÕES!$K33=0,CARTÕES!$F33=""),0,IF(20&gt;CARTÕES!$F33,0,CARTÕES!$K33+20-1))</f>
        <v/>
      </c>
      <c r="W33" s="57">
        <f>IF(OR(CARTÕES!$K33=0,CARTÕES!$F33=""),0,IF(21&gt;CARTÕES!$F33,0,CARTÕES!$K33+21-1))</f>
        <v/>
      </c>
      <c r="X33" s="57">
        <f>IF(OR(CARTÕES!$K33=0,CARTÕES!$F33=""),0,IF(22&gt;CARTÕES!$F33,0,CARTÕES!$K33+22-1))</f>
        <v/>
      </c>
      <c r="Y33" s="57">
        <f>IF(OR(CARTÕES!$K33=0,CARTÕES!$F33=""),0,IF(23&gt;CARTÕES!$F33,0,CARTÕES!$K33+23-1))</f>
        <v/>
      </c>
      <c r="Z33" s="57">
        <f>IF(OR(CARTÕES!$K33=0,CARTÕES!$F33=""),0,IF(24&gt;CARTÕES!$F33,0,CARTÕES!$K33+24-1))</f>
        <v/>
      </c>
      <c r="AA33" s="57">
        <f>IF(OR(CARTÕES!$K33=0,CARTÕES!$F33=""),0,IF(25&gt;CARTÕES!$F33,0,CARTÕES!$K33+25-1))</f>
        <v/>
      </c>
      <c r="AB33" s="57">
        <f>IF(OR(CARTÕES!$K33=0,CARTÕES!$F33=""),0,IF(26&gt;CARTÕES!$F33,0,CARTÕES!$K33+26-1))</f>
        <v/>
      </c>
      <c r="AC33" s="57">
        <f>IF(OR(CARTÕES!$K33=0,CARTÕES!$F33=""),0,IF(27&gt;CARTÕES!$F33,0,CARTÕES!$K33+27-1))</f>
        <v/>
      </c>
      <c r="AD33" s="57">
        <f>IF(OR(CARTÕES!$K33=0,CARTÕES!$F33=""),0,IF(28&gt;CARTÕES!$F33,0,CARTÕES!$K33+28-1))</f>
        <v/>
      </c>
      <c r="AE33" s="57">
        <f>IF(OR(CARTÕES!$K33=0,CARTÕES!$F33=""),0,IF(29&gt;CARTÕES!$F33,0,CARTÕES!$K33+29-1))</f>
        <v/>
      </c>
      <c r="AF33" s="57">
        <f>IF(OR(CARTÕES!$K33=0,CARTÕES!$F33=""),0,IF(30&gt;CARTÕES!$F33,0,CARTÕES!$K33+30-1))</f>
        <v/>
      </c>
      <c r="AG33" s="57">
        <f>IF(OR(CARTÕES!$K33=0,CARTÕES!$F33=""),0,IF(31&gt;CARTÕES!$F33,0,CARTÕES!$K33+31-1))</f>
        <v/>
      </c>
      <c r="AH33" s="57">
        <f>IF(OR(CARTÕES!$K33=0,CARTÕES!$F33=""),0,IF(32&gt;CARTÕES!$F33,0,CARTÕES!$K33+32-1))</f>
        <v/>
      </c>
      <c r="AI33" s="57">
        <f>IF(OR(CARTÕES!$K33=0,CARTÕES!$F33=""),0,IF(33&gt;CARTÕES!$F33,0,CARTÕES!$K33+33-1))</f>
        <v/>
      </c>
      <c r="AJ33" s="57">
        <f>IF(OR(CARTÕES!$K33=0,CARTÕES!$F33=""),0,IF(34&gt;CARTÕES!$F33,0,CARTÕES!$K33+34-1))</f>
        <v/>
      </c>
      <c r="AK33" s="57">
        <f>IF(OR(CARTÕES!$K33=0,CARTÕES!$F33=""),0,IF(35&gt;CARTÕES!$F33,0,CARTÕES!$K33+35-1))</f>
        <v/>
      </c>
      <c r="AL33" s="57">
        <f>IF(OR(CARTÕES!$K33=0,CARTÕES!$F33=""),0,IF(36&gt;CARTÕES!$F33,0,CARTÕES!$K33+36-1))</f>
        <v/>
      </c>
      <c r="AM33" s="57">
        <f>IF(C33=0,0,IF(1=CARTÕES!$F33,CARTÕES!$E33-(CARTÕES!$F33-1)*ROUND(CARTÕES!$E33/CARTÕES!$F33,0),ROUND(CARTÕES!$E33/CARTÕES!$F33,0)))</f>
        <v/>
      </c>
      <c r="AN33" s="57">
        <f>IF(D33=0,0,IF(2=CARTÕES!$F33,CARTÕES!$E33-(CARTÕES!$F33-1)*ROUND(CARTÕES!$E33/CARTÕES!$F33,0),ROUND(CARTÕES!$E33/CARTÕES!$F33,0)))</f>
        <v/>
      </c>
      <c r="AO33" s="57">
        <f>IF(E33=0,0,IF(3=CARTÕES!$F33,CARTÕES!$E33-(CARTÕES!$F33-1)*ROUND(CARTÕES!$E33/CARTÕES!$F33,0),ROUND(CARTÕES!$E33/CARTÕES!$F33,0)))</f>
        <v/>
      </c>
      <c r="AP33" s="57">
        <f>IF(F33=0,0,IF(4=CARTÕES!$F33,CARTÕES!$E33-(CARTÕES!$F33-1)*ROUND(CARTÕES!$E33/CARTÕES!$F33,0),ROUND(CARTÕES!$E33/CARTÕES!$F33,0)))</f>
        <v/>
      </c>
      <c r="AQ33" s="57">
        <f>IF(G33=0,0,IF(5=CARTÕES!$F33,CARTÕES!$E33-(CARTÕES!$F33-1)*ROUND(CARTÕES!$E33/CARTÕES!$F33,0),ROUND(CARTÕES!$E33/CARTÕES!$F33,0)))</f>
        <v/>
      </c>
      <c r="AR33" s="57">
        <f>IF(H33=0,0,IF(6=CARTÕES!$F33,CARTÕES!$E33-(CARTÕES!$F33-1)*ROUND(CARTÕES!$E33/CARTÕES!$F33,0),ROUND(CARTÕES!$E33/CARTÕES!$F33,0)))</f>
        <v/>
      </c>
      <c r="AS33" s="57">
        <f>IF(I33=0,0,IF(7=CARTÕES!$F33,CARTÕES!$E33-(CARTÕES!$F33-1)*ROUND(CARTÕES!$E33/CARTÕES!$F33,0),ROUND(CARTÕES!$E33/CARTÕES!$F33,0)))</f>
        <v/>
      </c>
      <c r="AT33" s="57">
        <f>IF(J33=0,0,IF(8=CARTÕES!$F33,CARTÕES!$E33-(CARTÕES!$F33-1)*ROUND(CARTÕES!$E33/CARTÕES!$F33,0),ROUND(CARTÕES!$E33/CARTÕES!$F33,0)))</f>
        <v/>
      </c>
      <c r="AU33" s="57">
        <f>IF(K33=0,0,IF(9=CARTÕES!$F33,CARTÕES!$E33-(CARTÕES!$F33-1)*ROUND(CARTÕES!$E33/CARTÕES!$F33,0),ROUND(CARTÕES!$E33/CARTÕES!$F33,0)))</f>
        <v/>
      </c>
      <c r="AV33" s="57">
        <f>IF(L33=0,0,IF(10=CARTÕES!$F33,CARTÕES!$E33-(CARTÕES!$F33-1)*ROUND(CARTÕES!$E33/CARTÕES!$F33,0),ROUND(CARTÕES!$E33/CARTÕES!$F33,0)))</f>
        <v/>
      </c>
      <c r="AW33" s="57">
        <f>IF(M33=0,0,IF(11=CARTÕES!$F33,CARTÕES!$E33-(CARTÕES!$F33-1)*ROUND(CARTÕES!$E33/CARTÕES!$F33,0),ROUND(CARTÕES!$E33/CARTÕES!$F33,0)))</f>
        <v/>
      </c>
      <c r="AX33" s="57">
        <f>IF(N33=0,0,IF(12=CARTÕES!$F33,CARTÕES!$E33-(CARTÕES!$F33-1)*ROUND(CARTÕES!$E33/CARTÕES!$F33,0),ROUND(CARTÕES!$E33/CARTÕES!$F33,0)))</f>
        <v/>
      </c>
      <c r="AY33" s="57">
        <f>IF(O33=0,0,IF(13=CARTÕES!$F33,CARTÕES!$E33-(CARTÕES!$F33-1)*ROUND(CARTÕES!$E33/CARTÕES!$F33,0),ROUND(CARTÕES!$E33/CARTÕES!$F33,0)))</f>
        <v/>
      </c>
      <c r="AZ33" s="57">
        <f>IF(P33=0,0,IF(14=CARTÕES!$F33,CARTÕES!$E33-(CARTÕES!$F33-1)*ROUND(CARTÕES!$E33/CARTÕES!$F33,0),ROUND(CARTÕES!$E33/CARTÕES!$F33,0)))</f>
        <v/>
      </c>
      <c r="BA33" s="57">
        <f>IF(Q33=0,0,IF(15=CARTÕES!$F33,CARTÕES!$E33-(CARTÕES!$F33-1)*ROUND(CARTÕES!$E33/CARTÕES!$F33,0),ROUND(CARTÕES!$E33/CARTÕES!$F33,0)))</f>
        <v/>
      </c>
      <c r="BB33" s="57">
        <f>IF(R33=0,0,IF(16=CARTÕES!$F33,CARTÕES!$E33-(CARTÕES!$F33-1)*ROUND(CARTÕES!$E33/CARTÕES!$F33,0),ROUND(CARTÕES!$E33/CARTÕES!$F33,0)))</f>
        <v/>
      </c>
      <c r="BC33" s="57">
        <f>IF(S33=0,0,IF(17=CARTÕES!$F33,CARTÕES!$E33-(CARTÕES!$F33-1)*ROUND(CARTÕES!$E33/CARTÕES!$F33,0),ROUND(CARTÕES!$E33/CARTÕES!$F33,0)))</f>
        <v/>
      </c>
      <c r="BD33" s="57">
        <f>IF(T33=0,0,IF(18=CARTÕES!$F33,CARTÕES!$E33-(CARTÕES!$F33-1)*ROUND(CARTÕES!$E33/CARTÕES!$F33,0),ROUND(CARTÕES!$E33/CARTÕES!$F33,0)))</f>
        <v/>
      </c>
      <c r="BE33" s="57">
        <f>IF(U33=0,0,IF(19=CARTÕES!$F33,CARTÕES!$E33-(CARTÕES!$F33-1)*ROUND(CARTÕES!$E33/CARTÕES!$F33,0),ROUND(CARTÕES!$E33/CARTÕES!$F33,0)))</f>
        <v/>
      </c>
      <c r="BF33" s="57">
        <f>IF(V33=0,0,IF(20=CARTÕES!$F33,CARTÕES!$E33-(CARTÕES!$F33-1)*ROUND(CARTÕES!$E33/CARTÕES!$F33,0),ROUND(CARTÕES!$E33/CARTÕES!$F33,0)))</f>
        <v/>
      </c>
      <c r="BG33" s="57">
        <f>IF(W33=0,0,IF(21=CARTÕES!$F33,CARTÕES!$E33-(CARTÕES!$F33-1)*ROUND(CARTÕES!$E33/CARTÕES!$F33,0),ROUND(CARTÕES!$E33/CARTÕES!$F33,0)))</f>
        <v/>
      </c>
      <c r="BH33" s="57">
        <f>IF(X33=0,0,IF(22=CARTÕES!$F33,CARTÕES!$E33-(CARTÕES!$F33-1)*ROUND(CARTÕES!$E33/CARTÕES!$F33,0),ROUND(CARTÕES!$E33/CARTÕES!$F33,0)))</f>
        <v/>
      </c>
      <c r="BI33" s="57">
        <f>IF(Y33=0,0,IF(23=CARTÕES!$F33,CARTÕES!$E33-(CARTÕES!$F33-1)*ROUND(CARTÕES!$E33/CARTÕES!$F33,0),ROUND(CARTÕES!$E33/CARTÕES!$F33,0)))</f>
        <v/>
      </c>
      <c r="BJ33" s="57">
        <f>IF(Z33=0,0,IF(24=CARTÕES!$F33,CARTÕES!$E33-(CARTÕES!$F33-1)*ROUND(CARTÕES!$E33/CARTÕES!$F33,0),ROUND(CARTÕES!$E33/CARTÕES!$F33,0)))</f>
        <v/>
      </c>
      <c r="BK33" s="57">
        <f>IF(AA33=0,0,IF(25=CARTÕES!$F33,CARTÕES!$E33-(CARTÕES!$F33-1)*ROUND(CARTÕES!$E33/CARTÕES!$F33,0),ROUND(CARTÕES!$E33/CARTÕES!$F33,0)))</f>
        <v/>
      </c>
      <c r="BL33" s="57">
        <f>IF(AB33=0,0,IF(26=CARTÕES!$F33,CARTÕES!$E33-(CARTÕES!$F33-1)*ROUND(CARTÕES!$E33/CARTÕES!$F33,0),ROUND(CARTÕES!$E33/CARTÕES!$F33,0)))</f>
        <v/>
      </c>
      <c r="BM33" s="57">
        <f>IF(AC33=0,0,IF(27=CARTÕES!$F33,CARTÕES!$E33-(CARTÕES!$F33-1)*ROUND(CARTÕES!$E33/CARTÕES!$F33,0),ROUND(CARTÕES!$E33/CARTÕES!$F33,0)))</f>
        <v/>
      </c>
      <c r="BN33" s="57">
        <f>IF(AD33=0,0,IF(28=CARTÕES!$F33,CARTÕES!$E33-(CARTÕES!$F33-1)*ROUND(CARTÕES!$E33/CARTÕES!$F33,0),ROUND(CARTÕES!$E33/CARTÕES!$F33,0)))</f>
        <v/>
      </c>
      <c r="BO33" s="57">
        <f>IF(AE33=0,0,IF(29=CARTÕES!$F33,CARTÕES!$E33-(CARTÕES!$F33-1)*ROUND(CARTÕES!$E33/CARTÕES!$F33,0),ROUND(CARTÕES!$E33/CARTÕES!$F33,0)))</f>
        <v/>
      </c>
      <c r="BP33" s="57">
        <f>IF(AF33=0,0,IF(30=CARTÕES!$F33,CARTÕES!$E33-(CARTÕES!$F33-1)*ROUND(CARTÕES!$E33/CARTÕES!$F33,0),ROUND(CARTÕES!$E33/CARTÕES!$F33,0)))</f>
        <v/>
      </c>
      <c r="BQ33" s="57">
        <f>IF(AG33=0,0,IF(31=CARTÕES!$F33,CARTÕES!$E33-(CARTÕES!$F33-1)*ROUND(CARTÕES!$E33/CARTÕES!$F33,0),ROUND(CARTÕES!$E33/CARTÕES!$F33,0)))</f>
        <v/>
      </c>
      <c r="BR33" s="57">
        <f>IF(AH33=0,0,IF(32=CARTÕES!$F33,CARTÕES!$E33-(CARTÕES!$F33-1)*ROUND(CARTÕES!$E33/CARTÕES!$F33,0),ROUND(CARTÕES!$E33/CARTÕES!$F33,0)))</f>
        <v/>
      </c>
      <c r="BS33" s="57">
        <f>IF(AI33=0,0,IF(33=CARTÕES!$F33,CARTÕES!$E33-(CARTÕES!$F33-1)*ROUND(CARTÕES!$E33/CARTÕES!$F33,0),ROUND(CARTÕES!$E33/CARTÕES!$F33,0)))</f>
        <v/>
      </c>
      <c r="BT33" s="57">
        <f>IF(AJ33=0,0,IF(34=CARTÕES!$F33,CARTÕES!$E33-(CARTÕES!$F33-1)*ROUND(CARTÕES!$E33/CARTÕES!$F33,0),ROUND(CARTÕES!$E33/CARTÕES!$F33,0)))</f>
        <v/>
      </c>
      <c r="BU33" s="57">
        <f>IF(AK33=0,0,IF(35=CARTÕES!$F33,CARTÕES!$E33-(CARTÕES!$F33-1)*ROUND(CARTÕES!$E33/CARTÕES!$F33,0),ROUND(CARTÕES!$E33/CARTÕES!$F33,0)))</f>
        <v/>
      </c>
      <c r="BV33" s="57">
        <f>IF(AL33=0,0,IF(36=CARTÕES!$F33,CARTÕES!$E33-(CARTÕES!$F33-1)*ROUND(CARTÕES!$E33/CARTÕES!$F33,0),ROUND(CARTÕES!$E33/CARTÕES!$F33,0)))</f>
        <v/>
      </c>
    </row>
    <row r="34">
      <c r="A34" s="55">
        <f>IF(CARTÕES!$C34="","",CARTÕES!$C34)</f>
        <v/>
      </c>
      <c r="B34" s="56">
        <f>SUMPRODUCT((C34:AL34='RESUMO MENSAL'!$C$4)*AM34:BV34)</f>
        <v/>
      </c>
      <c r="C34" s="57">
        <f>IF(OR(CARTÕES!$K34=0,CARTÕES!$F34=""),0,IF(1&gt;CARTÕES!$F34,0,CARTÕES!$K34+1-1))</f>
        <v/>
      </c>
      <c r="D34" s="57">
        <f>IF(OR(CARTÕES!$K34=0,CARTÕES!$F34=""),0,IF(2&gt;CARTÕES!$F34,0,CARTÕES!$K34+2-1))</f>
        <v/>
      </c>
      <c r="E34" s="57">
        <f>IF(OR(CARTÕES!$K34=0,CARTÕES!$F34=""),0,IF(3&gt;CARTÕES!$F34,0,CARTÕES!$K34+3-1))</f>
        <v/>
      </c>
      <c r="F34" s="57">
        <f>IF(OR(CARTÕES!$K34=0,CARTÕES!$F34=""),0,IF(4&gt;CARTÕES!$F34,0,CARTÕES!$K34+4-1))</f>
        <v/>
      </c>
      <c r="G34" s="57">
        <f>IF(OR(CARTÕES!$K34=0,CARTÕES!$F34=""),0,IF(5&gt;CARTÕES!$F34,0,CARTÕES!$K34+5-1))</f>
        <v/>
      </c>
      <c r="H34" s="57">
        <f>IF(OR(CARTÕES!$K34=0,CARTÕES!$F34=""),0,IF(6&gt;CARTÕES!$F34,0,CARTÕES!$K34+6-1))</f>
        <v/>
      </c>
      <c r="I34" s="57">
        <f>IF(OR(CARTÕES!$K34=0,CARTÕES!$F34=""),0,IF(7&gt;CARTÕES!$F34,0,CARTÕES!$K34+7-1))</f>
        <v/>
      </c>
      <c r="J34" s="57">
        <f>IF(OR(CARTÕES!$K34=0,CARTÕES!$F34=""),0,IF(8&gt;CARTÕES!$F34,0,CARTÕES!$K34+8-1))</f>
        <v/>
      </c>
      <c r="K34" s="57">
        <f>IF(OR(CARTÕES!$K34=0,CARTÕES!$F34=""),0,IF(9&gt;CARTÕES!$F34,0,CARTÕES!$K34+9-1))</f>
        <v/>
      </c>
      <c r="L34" s="57">
        <f>IF(OR(CARTÕES!$K34=0,CARTÕES!$F34=""),0,IF(10&gt;CARTÕES!$F34,0,CARTÕES!$K34+10-1))</f>
        <v/>
      </c>
      <c r="M34" s="57">
        <f>IF(OR(CARTÕES!$K34=0,CARTÕES!$F34=""),0,IF(11&gt;CARTÕES!$F34,0,CARTÕES!$K34+11-1))</f>
        <v/>
      </c>
      <c r="N34" s="57">
        <f>IF(OR(CARTÕES!$K34=0,CARTÕES!$F34=""),0,IF(12&gt;CARTÕES!$F34,0,CARTÕES!$K34+12-1))</f>
        <v/>
      </c>
      <c r="O34" s="57">
        <f>IF(OR(CARTÕES!$K34=0,CARTÕES!$F34=""),0,IF(13&gt;CARTÕES!$F34,0,CARTÕES!$K34+13-1))</f>
        <v/>
      </c>
      <c r="P34" s="57">
        <f>IF(OR(CARTÕES!$K34=0,CARTÕES!$F34=""),0,IF(14&gt;CARTÕES!$F34,0,CARTÕES!$K34+14-1))</f>
        <v/>
      </c>
      <c r="Q34" s="57">
        <f>IF(OR(CARTÕES!$K34=0,CARTÕES!$F34=""),0,IF(15&gt;CARTÕES!$F34,0,CARTÕES!$K34+15-1))</f>
        <v/>
      </c>
      <c r="R34" s="57">
        <f>IF(OR(CARTÕES!$K34=0,CARTÕES!$F34=""),0,IF(16&gt;CARTÕES!$F34,0,CARTÕES!$K34+16-1))</f>
        <v/>
      </c>
      <c r="S34" s="57">
        <f>IF(OR(CARTÕES!$K34=0,CARTÕES!$F34=""),0,IF(17&gt;CARTÕES!$F34,0,CARTÕES!$K34+17-1))</f>
        <v/>
      </c>
      <c r="T34" s="57">
        <f>IF(OR(CARTÕES!$K34=0,CARTÕES!$F34=""),0,IF(18&gt;CARTÕES!$F34,0,CARTÕES!$K34+18-1))</f>
        <v/>
      </c>
      <c r="U34" s="57">
        <f>IF(OR(CARTÕES!$K34=0,CARTÕES!$F34=""),0,IF(19&gt;CARTÕES!$F34,0,CARTÕES!$K34+19-1))</f>
        <v/>
      </c>
      <c r="V34" s="57">
        <f>IF(OR(CARTÕES!$K34=0,CARTÕES!$F34=""),0,IF(20&gt;CARTÕES!$F34,0,CARTÕES!$K34+20-1))</f>
        <v/>
      </c>
      <c r="W34" s="57">
        <f>IF(OR(CARTÕES!$K34=0,CARTÕES!$F34=""),0,IF(21&gt;CARTÕES!$F34,0,CARTÕES!$K34+21-1))</f>
        <v/>
      </c>
      <c r="X34" s="57">
        <f>IF(OR(CARTÕES!$K34=0,CARTÕES!$F34=""),0,IF(22&gt;CARTÕES!$F34,0,CARTÕES!$K34+22-1))</f>
        <v/>
      </c>
      <c r="Y34" s="57">
        <f>IF(OR(CARTÕES!$K34=0,CARTÕES!$F34=""),0,IF(23&gt;CARTÕES!$F34,0,CARTÕES!$K34+23-1))</f>
        <v/>
      </c>
      <c r="Z34" s="57">
        <f>IF(OR(CARTÕES!$K34=0,CARTÕES!$F34=""),0,IF(24&gt;CARTÕES!$F34,0,CARTÕES!$K34+24-1))</f>
        <v/>
      </c>
      <c r="AA34" s="57">
        <f>IF(OR(CARTÕES!$K34=0,CARTÕES!$F34=""),0,IF(25&gt;CARTÕES!$F34,0,CARTÕES!$K34+25-1))</f>
        <v/>
      </c>
      <c r="AB34" s="57">
        <f>IF(OR(CARTÕES!$K34=0,CARTÕES!$F34=""),0,IF(26&gt;CARTÕES!$F34,0,CARTÕES!$K34+26-1))</f>
        <v/>
      </c>
      <c r="AC34" s="57">
        <f>IF(OR(CARTÕES!$K34=0,CARTÕES!$F34=""),0,IF(27&gt;CARTÕES!$F34,0,CARTÕES!$K34+27-1))</f>
        <v/>
      </c>
      <c r="AD34" s="57">
        <f>IF(OR(CARTÕES!$K34=0,CARTÕES!$F34=""),0,IF(28&gt;CARTÕES!$F34,0,CARTÕES!$K34+28-1))</f>
        <v/>
      </c>
      <c r="AE34" s="57">
        <f>IF(OR(CARTÕES!$K34=0,CARTÕES!$F34=""),0,IF(29&gt;CARTÕES!$F34,0,CARTÕES!$K34+29-1))</f>
        <v/>
      </c>
      <c r="AF34" s="57">
        <f>IF(OR(CARTÕES!$K34=0,CARTÕES!$F34=""),0,IF(30&gt;CARTÕES!$F34,0,CARTÕES!$K34+30-1))</f>
        <v/>
      </c>
      <c r="AG34" s="57">
        <f>IF(OR(CARTÕES!$K34=0,CARTÕES!$F34=""),0,IF(31&gt;CARTÕES!$F34,0,CARTÕES!$K34+31-1))</f>
        <v/>
      </c>
      <c r="AH34" s="57">
        <f>IF(OR(CARTÕES!$K34=0,CARTÕES!$F34=""),0,IF(32&gt;CARTÕES!$F34,0,CARTÕES!$K34+32-1))</f>
        <v/>
      </c>
      <c r="AI34" s="57">
        <f>IF(OR(CARTÕES!$K34=0,CARTÕES!$F34=""),0,IF(33&gt;CARTÕES!$F34,0,CARTÕES!$K34+33-1))</f>
        <v/>
      </c>
      <c r="AJ34" s="57">
        <f>IF(OR(CARTÕES!$K34=0,CARTÕES!$F34=""),0,IF(34&gt;CARTÕES!$F34,0,CARTÕES!$K34+34-1))</f>
        <v/>
      </c>
      <c r="AK34" s="57">
        <f>IF(OR(CARTÕES!$K34=0,CARTÕES!$F34=""),0,IF(35&gt;CARTÕES!$F34,0,CARTÕES!$K34+35-1))</f>
        <v/>
      </c>
      <c r="AL34" s="57">
        <f>IF(OR(CARTÕES!$K34=0,CARTÕES!$F34=""),0,IF(36&gt;CARTÕES!$F34,0,CARTÕES!$K34+36-1))</f>
        <v/>
      </c>
      <c r="AM34" s="57">
        <f>IF(C34=0,0,IF(1=CARTÕES!$F34,CARTÕES!$E34-(CARTÕES!$F34-1)*ROUND(CARTÕES!$E34/CARTÕES!$F34,0),ROUND(CARTÕES!$E34/CARTÕES!$F34,0)))</f>
        <v/>
      </c>
      <c r="AN34" s="57">
        <f>IF(D34=0,0,IF(2=CARTÕES!$F34,CARTÕES!$E34-(CARTÕES!$F34-1)*ROUND(CARTÕES!$E34/CARTÕES!$F34,0),ROUND(CARTÕES!$E34/CARTÕES!$F34,0)))</f>
        <v/>
      </c>
      <c r="AO34" s="57">
        <f>IF(E34=0,0,IF(3=CARTÕES!$F34,CARTÕES!$E34-(CARTÕES!$F34-1)*ROUND(CARTÕES!$E34/CARTÕES!$F34,0),ROUND(CARTÕES!$E34/CARTÕES!$F34,0)))</f>
        <v/>
      </c>
      <c r="AP34" s="57">
        <f>IF(F34=0,0,IF(4=CARTÕES!$F34,CARTÕES!$E34-(CARTÕES!$F34-1)*ROUND(CARTÕES!$E34/CARTÕES!$F34,0),ROUND(CARTÕES!$E34/CARTÕES!$F34,0)))</f>
        <v/>
      </c>
      <c r="AQ34" s="57">
        <f>IF(G34=0,0,IF(5=CARTÕES!$F34,CARTÕES!$E34-(CARTÕES!$F34-1)*ROUND(CARTÕES!$E34/CARTÕES!$F34,0),ROUND(CARTÕES!$E34/CARTÕES!$F34,0)))</f>
        <v/>
      </c>
      <c r="AR34" s="57">
        <f>IF(H34=0,0,IF(6=CARTÕES!$F34,CARTÕES!$E34-(CARTÕES!$F34-1)*ROUND(CARTÕES!$E34/CARTÕES!$F34,0),ROUND(CARTÕES!$E34/CARTÕES!$F34,0)))</f>
        <v/>
      </c>
      <c r="AS34" s="57">
        <f>IF(I34=0,0,IF(7=CARTÕES!$F34,CARTÕES!$E34-(CARTÕES!$F34-1)*ROUND(CARTÕES!$E34/CARTÕES!$F34,0),ROUND(CARTÕES!$E34/CARTÕES!$F34,0)))</f>
        <v/>
      </c>
      <c r="AT34" s="57">
        <f>IF(J34=0,0,IF(8=CARTÕES!$F34,CARTÕES!$E34-(CARTÕES!$F34-1)*ROUND(CARTÕES!$E34/CARTÕES!$F34,0),ROUND(CARTÕES!$E34/CARTÕES!$F34,0)))</f>
        <v/>
      </c>
      <c r="AU34" s="57">
        <f>IF(K34=0,0,IF(9=CARTÕES!$F34,CARTÕES!$E34-(CARTÕES!$F34-1)*ROUND(CARTÕES!$E34/CARTÕES!$F34,0),ROUND(CARTÕES!$E34/CARTÕES!$F34,0)))</f>
        <v/>
      </c>
      <c r="AV34" s="57">
        <f>IF(L34=0,0,IF(10=CARTÕES!$F34,CARTÕES!$E34-(CARTÕES!$F34-1)*ROUND(CARTÕES!$E34/CARTÕES!$F34,0),ROUND(CARTÕES!$E34/CARTÕES!$F34,0)))</f>
        <v/>
      </c>
      <c r="AW34" s="57">
        <f>IF(M34=0,0,IF(11=CARTÕES!$F34,CARTÕES!$E34-(CARTÕES!$F34-1)*ROUND(CARTÕES!$E34/CARTÕES!$F34,0),ROUND(CARTÕES!$E34/CARTÕES!$F34,0)))</f>
        <v/>
      </c>
      <c r="AX34" s="57">
        <f>IF(N34=0,0,IF(12=CARTÕES!$F34,CARTÕES!$E34-(CARTÕES!$F34-1)*ROUND(CARTÕES!$E34/CARTÕES!$F34,0),ROUND(CARTÕES!$E34/CARTÕES!$F34,0)))</f>
        <v/>
      </c>
      <c r="AY34" s="57">
        <f>IF(O34=0,0,IF(13=CARTÕES!$F34,CARTÕES!$E34-(CARTÕES!$F34-1)*ROUND(CARTÕES!$E34/CARTÕES!$F34,0),ROUND(CARTÕES!$E34/CARTÕES!$F34,0)))</f>
        <v/>
      </c>
      <c r="AZ34" s="57">
        <f>IF(P34=0,0,IF(14=CARTÕES!$F34,CARTÕES!$E34-(CARTÕES!$F34-1)*ROUND(CARTÕES!$E34/CARTÕES!$F34,0),ROUND(CARTÕES!$E34/CARTÕES!$F34,0)))</f>
        <v/>
      </c>
      <c r="BA34" s="57">
        <f>IF(Q34=0,0,IF(15=CARTÕES!$F34,CARTÕES!$E34-(CARTÕES!$F34-1)*ROUND(CARTÕES!$E34/CARTÕES!$F34,0),ROUND(CARTÕES!$E34/CARTÕES!$F34,0)))</f>
        <v/>
      </c>
      <c r="BB34" s="57">
        <f>IF(R34=0,0,IF(16=CARTÕES!$F34,CARTÕES!$E34-(CARTÕES!$F34-1)*ROUND(CARTÕES!$E34/CARTÕES!$F34,0),ROUND(CARTÕES!$E34/CARTÕES!$F34,0)))</f>
        <v/>
      </c>
      <c r="BC34" s="57">
        <f>IF(S34=0,0,IF(17=CARTÕES!$F34,CARTÕES!$E34-(CARTÕES!$F34-1)*ROUND(CARTÕES!$E34/CARTÕES!$F34,0),ROUND(CARTÕES!$E34/CARTÕES!$F34,0)))</f>
        <v/>
      </c>
      <c r="BD34" s="57">
        <f>IF(T34=0,0,IF(18=CARTÕES!$F34,CARTÕES!$E34-(CARTÕES!$F34-1)*ROUND(CARTÕES!$E34/CARTÕES!$F34,0),ROUND(CARTÕES!$E34/CARTÕES!$F34,0)))</f>
        <v/>
      </c>
      <c r="BE34" s="57">
        <f>IF(U34=0,0,IF(19=CARTÕES!$F34,CARTÕES!$E34-(CARTÕES!$F34-1)*ROUND(CARTÕES!$E34/CARTÕES!$F34,0),ROUND(CARTÕES!$E34/CARTÕES!$F34,0)))</f>
        <v/>
      </c>
      <c r="BF34" s="57">
        <f>IF(V34=0,0,IF(20=CARTÕES!$F34,CARTÕES!$E34-(CARTÕES!$F34-1)*ROUND(CARTÕES!$E34/CARTÕES!$F34,0),ROUND(CARTÕES!$E34/CARTÕES!$F34,0)))</f>
        <v/>
      </c>
      <c r="BG34" s="57">
        <f>IF(W34=0,0,IF(21=CARTÕES!$F34,CARTÕES!$E34-(CARTÕES!$F34-1)*ROUND(CARTÕES!$E34/CARTÕES!$F34,0),ROUND(CARTÕES!$E34/CARTÕES!$F34,0)))</f>
        <v/>
      </c>
      <c r="BH34" s="57">
        <f>IF(X34=0,0,IF(22=CARTÕES!$F34,CARTÕES!$E34-(CARTÕES!$F34-1)*ROUND(CARTÕES!$E34/CARTÕES!$F34,0),ROUND(CARTÕES!$E34/CARTÕES!$F34,0)))</f>
        <v/>
      </c>
      <c r="BI34" s="57">
        <f>IF(Y34=0,0,IF(23=CARTÕES!$F34,CARTÕES!$E34-(CARTÕES!$F34-1)*ROUND(CARTÕES!$E34/CARTÕES!$F34,0),ROUND(CARTÕES!$E34/CARTÕES!$F34,0)))</f>
        <v/>
      </c>
      <c r="BJ34" s="57">
        <f>IF(Z34=0,0,IF(24=CARTÕES!$F34,CARTÕES!$E34-(CARTÕES!$F34-1)*ROUND(CARTÕES!$E34/CARTÕES!$F34,0),ROUND(CARTÕES!$E34/CARTÕES!$F34,0)))</f>
        <v/>
      </c>
      <c r="BK34" s="57">
        <f>IF(AA34=0,0,IF(25=CARTÕES!$F34,CARTÕES!$E34-(CARTÕES!$F34-1)*ROUND(CARTÕES!$E34/CARTÕES!$F34,0),ROUND(CARTÕES!$E34/CARTÕES!$F34,0)))</f>
        <v/>
      </c>
      <c r="BL34" s="57">
        <f>IF(AB34=0,0,IF(26=CARTÕES!$F34,CARTÕES!$E34-(CARTÕES!$F34-1)*ROUND(CARTÕES!$E34/CARTÕES!$F34,0),ROUND(CARTÕES!$E34/CARTÕES!$F34,0)))</f>
        <v/>
      </c>
      <c r="BM34" s="57">
        <f>IF(AC34=0,0,IF(27=CARTÕES!$F34,CARTÕES!$E34-(CARTÕES!$F34-1)*ROUND(CARTÕES!$E34/CARTÕES!$F34,0),ROUND(CARTÕES!$E34/CARTÕES!$F34,0)))</f>
        <v/>
      </c>
      <c r="BN34" s="57">
        <f>IF(AD34=0,0,IF(28=CARTÕES!$F34,CARTÕES!$E34-(CARTÕES!$F34-1)*ROUND(CARTÕES!$E34/CARTÕES!$F34,0),ROUND(CARTÕES!$E34/CARTÕES!$F34,0)))</f>
        <v/>
      </c>
      <c r="BO34" s="57">
        <f>IF(AE34=0,0,IF(29=CARTÕES!$F34,CARTÕES!$E34-(CARTÕES!$F34-1)*ROUND(CARTÕES!$E34/CARTÕES!$F34,0),ROUND(CARTÕES!$E34/CARTÕES!$F34,0)))</f>
        <v/>
      </c>
      <c r="BP34" s="57">
        <f>IF(AF34=0,0,IF(30=CARTÕES!$F34,CARTÕES!$E34-(CARTÕES!$F34-1)*ROUND(CARTÕES!$E34/CARTÕES!$F34,0),ROUND(CARTÕES!$E34/CARTÕES!$F34,0)))</f>
        <v/>
      </c>
      <c r="BQ34" s="57">
        <f>IF(AG34=0,0,IF(31=CARTÕES!$F34,CARTÕES!$E34-(CARTÕES!$F34-1)*ROUND(CARTÕES!$E34/CARTÕES!$F34,0),ROUND(CARTÕES!$E34/CARTÕES!$F34,0)))</f>
        <v/>
      </c>
      <c r="BR34" s="57">
        <f>IF(AH34=0,0,IF(32=CARTÕES!$F34,CARTÕES!$E34-(CARTÕES!$F34-1)*ROUND(CARTÕES!$E34/CARTÕES!$F34,0),ROUND(CARTÕES!$E34/CARTÕES!$F34,0)))</f>
        <v/>
      </c>
      <c r="BS34" s="57">
        <f>IF(AI34=0,0,IF(33=CARTÕES!$F34,CARTÕES!$E34-(CARTÕES!$F34-1)*ROUND(CARTÕES!$E34/CARTÕES!$F34,0),ROUND(CARTÕES!$E34/CARTÕES!$F34,0)))</f>
        <v/>
      </c>
      <c r="BT34" s="57">
        <f>IF(AJ34=0,0,IF(34=CARTÕES!$F34,CARTÕES!$E34-(CARTÕES!$F34-1)*ROUND(CARTÕES!$E34/CARTÕES!$F34,0),ROUND(CARTÕES!$E34/CARTÕES!$F34,0)))</f>
        <v/>
      </c>
      <c r="BU34" s="57">
        <f>IF(AK34=0,0,IF(35=CARTÕES!$F34,CARTÕES!$E34-(CARTÕES!$F34-1)*ROUND(CARTÕES!$E34/CARTÕES!$F34,0),ROUND(CARTÕES!$E34/CARTÕES!$F34,0)))</f>
        <v/>
      </c>
      <c r="BV34" s="57">
        <f>IF(AL34=0,0,IF(36=CARTÕES!$F34,CARTÕES!$E34-(CARTÕES!$F34-1)*ROUND(CARTÕES!$E34/CARTÕES!$F34,0),ROUND(CARTÕES!$E34/CARTÕES!$F34,0)))</f>
        <v/>
      </c>
    </row>
    <row r="35">
      <c r="A35" s="55">
        <f>IF(CARTÕES!$C35="","",CARTÕES!$C35)</f>
        <v/>
      </c>
      <c r="B35" s="56">
        <f>SUMPRODUCT((C35:AL35='RESUMO MENSAL'!$C$4)*AM35:BV35)</f>
        <v/>
      </c>
      <c r="C35" s="57">
        <f>IF(OR(CARTÕES!$K35=0,CARTÕES!$F35=""),0,IF(1&gt;CARTÕES!$F35,0,CARTÕES!$K35+1-1))</f>
        <v/>
      </c>
      <c r="D35" s="57">
        <f>IF(OR(CARTÕES!$K35=0,CARTÕES!$F35=""),0,IF(2&gt;CARTÕES!$F35,0,CARTÕES!$K35+2-1))</f>
        <v/>
      </c>
      <c r="E35" s="57">
        <f>IF(OR(CARTÕES!$K35=0,CARTÕES!$F35=""),0,IF(3&gt;CARTÕES!$F35,0,CARTÕES!$K35+3-1))</f>
        <v/>
      </c>
      <c r="F35" s="57">
        <f>IF(OR(CARTÕES!$K35=0,CARTÕES!$F35=""),0,IF(4&gt;CARTÕES!$F35,0,CARTÕES!$K35+4-1))</f>
        <v/>
      </c>
      <c r="G35" s="57">
        <f>IF(OR(CARTÕES!$K35=0,CARTÕES!$F35=""),0,IF(5&gt;CARTÕES!$F35,0,CARTÕES!$K35+5-1))</f>
        <v/>
      </c>
      <c r="H35" s="57">
        <f>IF(OR(CARTÕES!$K35=0,CARTÕES!$F35=""),0,IF(6&gt;CARTÕES!$F35,0,CARTÕES!$K35+6-1))</f>
        <v/>
      </c>
      <c r="I35" s="57">
        <f>IF(OR(CARTÕES!$K35=0,CARTÕES!$F35=""),0,IF(7&gt;CARTÕES!$F35,0,CARTÕES!$K35+7-1))</f>
        <v/>
      </c>
      <c r="J35" s="57">
        <f>IF(OR(CARTÕES!$K35=0,CARTÕES!$F35=""),0,IF(8&gt;CARTÕES!$F35,0,CARTÕES!$K35+8-1))</f>
        <v/>
      </c>
      <c r="K35" s="57">
        <f>IF(OR(CARTÕES!$K35=0,CARTÕES!$F35=""),0,IF(9&gt;CARTÕES!$F35,0,CARTÕES!$K35+9-1))</f>
        <v/>
      </c>
      <c r="L35" s="57">
        <f>IF(OR(CARTÕES!$K35=0,CARTÕES!$F35=""),0,IF(10&gt;CARTÕES!$F35,0,CARTÕES!$K35+10-1))</f>
        <v/>
      </c>
      <c r="M35" s="57">
        <f>IF(OR(CARTÕES!$K35=0,CARTÕES!$F35=""),0,IF(11&gt;CARTÕES!$F35,0,CARTÕES!$K35+11-1))</f>
        <v/>
      </c>
      <c r="N35" s="57">
        <f>IF(OR(CARTÕES!$K35=0,CARTÕES!$F35=""),0,IF(12&gt;CARTÕES!$F35,0,CARTÕES!$K35+12-1))</f>
        <v/>
      </c>
      <c r="O35" s="57">
        <f>IF(OR(CARTÕES!$K35=0,CARTÕES!$F35=""),0,IF(13&gt;CARTÕES!$F35,0,CARTÕES!$K35+13-1))</f>
        <v/>
      </c>
      <c r="P35" s="57">
        <f>IF(OR(CARTÕES!$K35=0,CARTÕES!$F35=""),0,IF(14&gt;CARTÕES!$F35,0,CARTÕES!$K35+14-1))</f>
        <v/>
      </c>
      <c r="Q35" s="57">
        <f>IF(OR(CARTÕES!$K35=0,CARTÕES!$F35=""),0,IF(15&gt;CARTÕES!$F35,0,CARTÕES!$K35+15-1))</f>
        <v/>
      </c>
      <c r="R35" s="57">
        <f>IF(OR(CARTÕES!$K35=0,CARTÕES!$F35=""),0,IF(16&gt;CARTÕES!$F35,0,CARTÕES!$K35+16-1))</f>
        <v/>
      </c>
      <c r="S35" s="57">
        <f>IF(OR(CARTÕES!$K35=0,CARTÕES!$F35=""),0,IF(17&gt;CARTÕES!$F35,0,CARTÕES!$K35+17-1))</f>
        <v/>
      </c>
      <c r="T35" s="57">
        <f>IF(OR(CARTÕES!$K35=0,CARTÕES!$F35=""),0,IF(18&gt;CARTÕES!$F35,0,CARTÕES!$K35+18-1))</f>
        <v/>
      </c>
      <c r="U35" s="57">
        <f>IF(OR(CARTÕES!$K35=0,CARTÕES!$F35=""),0,IF(19&gt;CARTÕES!$F35,0,CARTÕES!$K35+19-1))</f>
        <v/>
      </c>
      <c r="V35" s="57">
        <f>IF(OR(CARTÕES!$K35=0,CARTÕES!$F35=""),0,IF(20&gt;CARTÕES!$F35,0,CARTÕES!$K35+20-1))</f>
        <v/>
      </c>
      <c r="W35" s="57">
        <f>IF(OR(CARTÕES!$K35=0,CARTÕES!$F35=""),0,IF(21&gt;CARTÕES!$F35,0,CARTÕES!$K35+21-1))</f>
        <v/>
      </c>
      <c r="X35" s="57">
        <f>IF(OR(CARTÕES!$K35=0,CARTÕES!$F35=""),0,IF(22&gt;CARTÕES!$F35,0,CARTÕES!$K35+22-1))</f>
        <v/>
      </c>
      <c r="Y35" s="57">
        <f>IF(OR(CARTÕES!$K35=0,CARTÕES!$F35=""),0,IF(23&gt;CARTÕES!$F35,0,CARTÕES!$K35+23-1))</f>
        <v/>
      </c>
      <c r="Z35" s="57">
        <f>IF(OR(CARTÕES!$K35=0,CARTÕES!$F35=""),0,IF(24&gt;CARTÕES!$F35,0,CARTÕES!$K35+24-1))</f>
        <v/>
      </c>
      <c r="AA35" s="57">
        <f>IF(OR(CARTÕES!$K35=0,CARTÕES!$F35=""),0,IF(25&gt;CARTÕES!$F35,0,CARTÕES!$K35+25-1))</f>
        <v/>
      </c>
      <c r="AB35" s="57">
        <f>IF(OR(CARTÕES!$K35=0,CARTÕES!$F35=""),0,IF(26&gt;CARTÕES!$F35,0,CARTÕES!$K35+26-1))</f>
        <v/>
      </c>
      <c r="AC35" s="57">
        <f>IF(OR(CARTÕES!$K35=0,CARTÕES!$F35=""),0,IF(27&gt;CARTÕES!$F35,0,CARTÕES!$K35+27-1))</f>
        <v/>
      </c>
      <c r="AD35" s="57">
        <f>IF(OR(CARTÕES!$K35=0,CARTÕES!$F35=""),0,IF(28&gt;CARTÕES!$F35,0,CARTÕES!$K35+28-1))</f>
        <v/>
      </c>
      <c r="AE35" s="57">
        <f>IF(OR(CARTÕES!$K35=0,CARTÕES!$F35=""),0,IF(29&gt;CARTÕES!$F35,0,CARTÕES!$K35+29-1))</f>
        <v/>
      </c>
      <c r="AF35" s="57">
        <f>IF(OR(CARTÕES!$K35=0,CARTÕES!$F35=""),0,IF(30&gt;CARTÕES!$F35,0,CARTÕES!$K35+30-1))</f>
        <v/>
      </c>
      <c r="AG35" s="57">
        <f>IF(OR(CARTÕES!$K35=0,CARTÕES!$F35=""),0,IF(31&gt;CARTÕES!$F35,0,CARTÕES!$K35+31-1))</f>
        <v/>
      </c>
      <c r="AH35" s="57">
        <f>IF(OR(CARTÕES!$K35=0,CARTÕES!$F35=""),0,IF(32&gt;CARTÕES!$F35,0,CARTÕES!$K35+32-1))</f>
        <v/>
      </c>
      <c r="AI35" s="57">
        <f>IF(OR(CARTÕES!$K35=0,CARTÕES!$F35=""),0,IF(33&gt;CARTÕES!$F35,0,CARTÕES!$K35+33-1))</f>
        <v/>
      </c>
      <c r="AJ35" s="57">
        <f>IF(OR(CARTÕES!$K35=0,CARTÕES!$F35=""),0,IF(34&gt;CARTÕES!$F35,0,CARTÕES!$K35+34-1))</f>
        <v/>
      </c>
      <c r="AK35" s="57">
        <f>IF(OR(CARTÕES!$K35=0,CARTÕES!$F35=""),0,IF(35&gt;CARTÕES!$F35,0,CARTÕES!$K35+35-1))</f>
        <v/>
      </c>
      <c r="AL35" s="57">
        <f>IF(OR(CARTÕES!$K35=0,CARTÕES!$F35=""),0,IF(36&gt;CARTÕES!$F35,0,CARTÕES!$K35+36-1))</f>
        <v/>
      </c>
      <c r="AM35" s="57">
        <f>IF(C35=0,0,IF(1=CARTÕES!$F35,CARTÕES!$E35-(CARTÕES!$F35-1)*ROUND(CARTÕES!$E35/CARTÕES!$F35,0),ROUND(CARTÕES!$E35/CARTÕES!$F35,0)))</f>
        <v/>
      </c>
      <c r="AN35" s="57">
        <f>IF(D35=0,0,IF(2=CARTÕES!$F35,CARTÕES!$E35-(CARTÕES!$F35-1)*ROUND(CARTÕES!$E35/CARTÕES!$F35,0),ROUND(CARTÕES!$E35/CARTÕES!$F35,0)))</f>
        <v/>
      </c>
      <c r="AO35" s="57">
        <f>IF(E35=0,0,IF(3=CARTÕES!$F35,CARTÕES!$E35-(CARTÕES!$F35-1)*ROUND(CARTÕES!$E35/CARTÕES!$F35,0),ROUND(CARTÕES!$E35/CARTÕES!$F35,0)))</f>
        <v/>
      </c>
      <c r="AP35" s="57">
        <f>IF(F35=0,0,IF(4=CARTÕES!$F35,CARTÕES!$E35-(CARTÕES!$F35-1)*ROUND(CARTÕES!$E35/CARTÕES!$F35,0),ROUND(CARTÕES!$E35/CARTÕES!$F35,0)))</f>
        <v/>
      </c>
      <c r="AQ35" s="57">
        <f>IF(G35=0,0,IF(5=CARTÕES!$F35,CARTÕES!$E35-(CARTÕES!$F35-1)*ROUND(CARTÕES!$E35/CARTÕES!$F35,0),ROUND(CARTÕES!$E35/CARTÕES!$F35,0)))</f>
        <v/>
      </c>
      <c r="AR35" s="57">
        <f>IF(H35=0,0,IF(6=CARTÕES!$F35,CARTÕES!$E35-(CARTÕES!$F35-1)*ROUND(CARTÕES!$E35/CARTÕES!$F35,0),ROUND(CARTÕES!$E35/CARTÕES!$F35,0)))</f>
        <v/>
      </c>
      <c r="AS35" s="57">
        <f>IF(I35=0,0,IF(7=CARTÕES!$F35,CARTÕES!$E35-(CARTÕES!$F35-1)*ROUND(CARTÕES!$E35/CARTÕES!$F35,0),ROUND(CARTÕES!$E35/CARTÕES!$F35,0)))</f>
        <v/>
      </c>
      <c r="AT35" s="57">
        <f>IF(J35=0,0,IF(8=CARTÕES!$F35,CARTÕES!$E35-(CARTÕES!$F35-1)*ROUND(CARTÕES!$E35/CARTÕES!$F35,0),ROUND(CARTÕES!$E35/CARTÕES!$F35,0)))</f>
        <v/>
      </c>
      <c r="AU35" s="57">
        <f>IF(K35=0,0,IF(9=CARTÕES!$F35,CARTÕES!$E35-(CARTÕES!$F35-1)*ROUND(CARTÕES!$E35/CARTÕES!$F35,0),ROUND(CARTÕES!$E35/CARTÕES!$F35,0)))</f>
        <v/>
      </c>
      <c r="AV35" s="57">
        <f>IF(L35=0,0,IF(10=CARTÕES!$F35,CARTÕES!$E35-(CARTÕES!$F35-1)*ROUND(CARTÕES!$E35/CARTÕES!$F35,0),ROUND(CARTÕES!$E35/CARTÕES!$F35,0)))</f>
        <v/>
      </c>
      <c r="AW35" s="57">
        <f>IF(M35=0,0,IF(11=CARTÕES!$F35,CARTÕES!$E35-(CARTÕES!$F35-1)*ROUND(CARTÕES!$E35/CARTÕES!$F35,0),ROUND(CARTÕES!$E35/CARTÕES!$F35,0)))</f>
        <v/>
      </c>
      <c r="AX35" s="57">
        <f>IF(N35=0,0,IF(12=CARTÕES!$F35,CARTÕES!$E35-(CARTÕES!$F35-1)*ROUND(CARTÕES!$E35/CARTÕES!$F35,0),ROUND(CARTÕES!$E35/CARTÕES!$F35,0)))</f>
        <v/>
      </c>
      <c r="AY35" s="57">
        <f>IF(O35=0,0,IF(13=CARTÕES!$F35,CARTÕES!$E35-(CARTÕES!$F35-1)*ROUND(CARTÕES!$E35/CARTÕES!$F35,0),ROUND(CARTÕES!$E35/CARTÕES!$F35,0)))</f>
        <v/>
      </c>
      <c r="AZ35" s="57">
        <f>IF(P35=0,0,IF(14=CARTÕES!$F35,CARTÕES!$E35-(CARTÕES!$F35-1)*ROUND(CARTÕES!$E35/CARTÕES!$F35,0),ROUND(CARTÕES!$E35/CARTÕES!$F35,0)))</f>
        <v/>
      </c>
      <c r="BA35" s="57">
        <f>IF(Q35=0,0,IF(15=CARTÕES!$F35,CARTÕES!$E35-(CARTÕES!$F35-1)*ROUND(CARTÕES!$E35/CARTÕES!$F35,0),ROUND(CARTÕES!$E35/CARTÕES!$F35,0)))</f>
        <v/>
      </c>
      <c r="BB35" s="57">
        <f>IF(R35=0,0,IF(16=CARTÕES!$F35,CARTÕES!$E35-(CARTÕES!$F35-1)*ROUND(CARTÕES!$E35/CARTÕES!$F35,0),ROUND(CARTÕES!$E35/CARTÕES!$F35,0)))</f>
        <v/>
      </c>
      <c r="BC35" s="57">
        <f>IF(S35=0,0,IF(17=CARTÕES!$F35,CARTÕES!$E35-(CARTÕES!$F35-1)*ROUND(CARTÕES!$E35/CARTÕES!$F35,0),ROUND(CARTÕES!$E35/CARTÕES!$F35,0)))</f>
        <v/>
      </c>
      <c r="BD35" s="57">
        <f>IF(T35=0,0,IF(18=CARTÕES!$F35,CARTÕES!$E35-(CARTÕES!$F35-1)*ROUND(CARTÕES!$E35/CARTÕES!$F35,0),ROUND(CARTÕES!$E35/CARTÕES!$F35,0)))</f>
        <v/>
      </c>
      <c r="BE35" s="57">
        <f>IF(U35=0,0,IF(19=CARTÕES!$F35,CARTÕES!$E35-(CARTÕES!$F35-1)*ROUND(CARTÕES!$E35/CARTÕES!$F35,0),ROUND(CARTÕES!$E35/CARTÕES!$F35,0)))</f>
        <v/>
      </c>
      <c r="BF35" s="57">
        <f>IF(V35=0,0,IF(20=CARTÕES!$F35,CARTÕES!$E35-(CARTÕES!$F35-1)*ROUND(CARTÕES!$E35/CARTÕES!$F35,0),ROUND(CARTÕES!$E35/CARTÕES!$F35,0)))</f>
        <v/>
      </c>
      <c r="BG35" s="57">
        <f>IF(W35=0,0,IF(21=CARTÕES!$F35,CARTÕES!$E35-(CARTÕES!$F35-1)*ROUND(CARTÕES!$E35/CARTÕES!$F35,0),ROUND(CARTÕES!$E35/CARTÕES!$F35,0)))</f>
        <v/>
      </c>
      <c r="BH35" s="57">
        <f>IF(X35=0,0,IF(22=CARTÕES!$F35,CARTÕES!$E35-(CARTÕES!$F35-1)*ROUND(CARTÕES!$E35/CARTÕES!$F35,0),ROUND(CARTÕES!$E35/CARTÕES!$F35,0)))</f>
        <v/>
      </c>
      <c r="BI35" s="57">
        <f>IF(Y35=0,0,IF(23=CARTÕES!$F35,CARTÕES!$E35-(CARTÕES!$F35-1)*ROUND(CARTÕES!$E35/CARTÕES!$F35,0),ROUND(CARTÕES!$E35/CARTÕES!$F35,0)))</f>
        <v/>
      </c>
      <c r="BJ35" s="57">
        <f>IF(Z35=0,0,IF(24=CARTÕES!$F35,CARTÕES!$E35-(CARTÕES!$F35-1)*ROUND(CARTÕES!$E35/CARTÕES!$F35,0),ROUND(CARTÕES!$E35/CARTÕES!$F35,0)))</f>
        <v/>
      </c>
      <c r="BK35" s="57">
        <f>IF(AA35=0,0,IF(25=CARTÕES!$F35,CARTÕES!$E35-(CARTÕES!$F35-1)*ROUND(CARTÕES!$E35/CARTÕES!$F35,0),ROUND(CARTÕES!$E35/CARTÕES!$F35,0)))</f>
        <v/>
      </c>
      <c r="BL35" s="57">
        <f>IF(AB35=0,0,IF(26=CARTÕES!$F35,CARTÕES!$E35-(CARTÕES!$F35-1)*ROUND(CARTÕES!$E35/CARTÕES!$F35,0),ROUND(CARTÕES!$E35/CARTÕES!$F35,0)))</f>
        <v/>
      </c>
      <c r="BM35" s="57">
        <f>IF(AC35=0,0,IF(27=CARTÕES!$F35,CARTÕES!$E35-(CARTÕES!$F35-1)*ROUND(CARTÕES!$E35/CARTÕES!$F35,0),ROUND(CARTÕES!$E35/CARTÕES!$F35,0)))</f>
        <v/>
      </c>
      <c r="BN35" s="57">
        <f>IF(AD35=0,0,IF(28=CARTÕES!$F35,CARTÕES!$E35-(CARTÕES!$F35-1)*ROUND(CARTÕES!$E35/CARTÕES!$F35,0),ROUND(CARTÕES!$E35/CARTÕES!$F35,0)))</f>
        <v/>
      </c>
      <c r="BO35" s="57">
        <f>IF(AE35=0,0,IF(29=CARTÕES!$F35,CARTÕES!$E35-(CARTÕES!$F35-1)*ROUND(CARTÕES!$E35/CARTÕES!$F35,0),ROUND(CARTÕES!$E35/CARTÕES!$F35,0)))</f>
        <v/>
      </c>
      <c r="BP35" s="57">
        <f>IF(AF35=0,0,IF(30=CARTÕES!$F35,CARTÕES!$E35-(CARTÕES!$F35-1)*ROUND(CARTÕES!$E35/CARTÕES!$F35,0),ROUND(CARTÕES!$E35/CARTÕES!$F35,0)))</f>
        <v/>
      </c>
      <c r="BQ35" s="57">
        <f>IF(AG35=0,0,IF(31=CARTÕES!$F35,CARTÕES!$E35-(CARTÕES!$F35-1)*ROUND(CARTÕES!$E35/CARTÕES!$F35,0),ROUND(CARTÕES!$E35/CARTÕES!$F35,0)))</f>
        <v/>
      </c>
      <c r="BR35" s="57">
        <f>IF(AH35=0,0,IF(32=CARTÕES!$F35,CARTÕES!$E35-(CARTÕES!$F35-1)*ROUND(CARTÕES!$E35/CARTÕES!$F35,0),ROUND(CARTÕES!$E35/CARTÕES!$F35,0)))</f>
        <v/>
      </c>
      <c r="BS35" s="57">
        <f>IF(AI35=0,0,IF(33=CARTÕES!$F35,CARTÕES!$E35-(CARTÕES!$F35-1)*ROUND(CARTÕES!$E35/CARTÕES!$F35,0),ROUND(CARTÕES!$E35/CARTÕES!$F35,0)))</f>
        <v/>
      </c>
      <c r="BT35" s="57">
        <f>IF(AJ35=0,0,IF(34=CARTÕES!$F35,CARTÕES!$E35-(CARTÕES!$F35-1)*ROUND(CARTÕES!$E35/CARTÕES!$F35,0),ROUND(CARTÕES!$E35/CARTÕES!$F35,0)))</f>
        <v/>
      </c>
      <c r="BU35" s="57">
        <f>IF(AK35=0,0,IF(35=CARTÕES!$F35,CARTÕES!$E35-(CARTÕES!$F35-1)*ROUND(CARTÕES!$E35/CARTÕES!$F35,0),ROUND(CARTÕES!$E35/CARTÕES!$F35,0)))</f>
        <v/>
      </c>
      <c r="BV35" s="57">
        <f>IF(AL35=0,0,IF(36=CARTÕES!$F35,CARTÕES!$E35-(CARTÕES!$F35-1)*ROUND(CARTÕES!$E35/CARTÕES!$F35,0),ROUND(CARTÕES!$E35/CARTÕES!$F35,0)))</f>
        <v/>
      </c>
    </row>
    <row r="36">
      <c r="A36" s="55">
        <f>IF(CARTÕES!$C36="","",CARTÕES!$C36)</f>
        <v/>
      </c>
      <c r="B36" s="56">
        <f>SUMPRODUCT((C36:AL36='RESUMO MENSAL'!$C$4)*AM36:BV36)</f>
        <v/>
      </c>
      <c r="C36" s="57">
        <f>IF(OR(CARTÕES!$K36=0,CARTÕES!$F36=""),0,IF(1&gt;CARTÕES!$F36,0,CARTÕES!$K36+1-1))</f>
        <v/>
      </c>
      <c r="D36" s="57">
        <f>IF(OR(CARTÕES!$K36=0,CARTÕES!$F36=""),0,IF(2&gt;CARTÕES!$F36,0,CARTÕES!$K36+2-1))</f>
        <v/>
      </c>
      <c r="E36" s="57">
        <f>IF(OR(CARTÕES!$K36=0,CARTÕES!$F36=""),0,IF(3&gt;CARTÕES!$F36,0,CARTÕES!$K36+3-1))</f>
        <v/>
      </c>
      <c r="F36" s="57">
        <f>IF(OR(CARTÕES!$K36=0,CARTÕES!$F36=""),0,IF(4&gt;CARTÕES!$F36,0,CARTÕES!$K36+4-1))</f>
        <v/>
      </c>
      <c r="G36" s="57">
        <f>IF(OR(CARTÕES!$K36=0,CARTÕES!$F36=""),0,IF(5&gt;CARTÕES!$F36,0,CARTÕES!$K36+5-1))</f>
        <v/>
      </c>
      <c r="H36" s="57">
        <f>IF(OR(CARTÕES!$K36=0,CARTÕES!$F36=""),0,IF(6&gt;CARTÕES!$F36,0,CARTÕES!$K36+6-1))</f>
        <v/>
      </c>
      <c r="I36" s="57">
        <f>IF(OR(CARTÕES!$K36=0,CARTÕES!$F36=""),0,IF(7&gt;CARTÕES!$F36,0,CARTÕES!$K36+7-1))</f>
        <v/>
      </c>
      <c r="J36" s="57">
        <f>IF(OR(CARTÕES!$K36=0,CARTÕES!$F36=""),0,IF(8&gt;CARTÕES!$F36,0,CARTÕES!$K36+8-1))</f>
        <v/>
      </c>
      <c r="K36" s="57">
        <f>IF(OR(CARTÕES!$K36=0,CARTÕES!$F36=""),0,IF(9&gt;CARTÕES!$F36,0,CARTÕES!$K36+9-1))</f>
        <v/>
      </c>
      <c r="L36" s="57">
        <f>IF(OR(CARTÕES!$K36=0,CARTÕES!$F36=""),0,IF(10&gt;CARTÕES!$F36,0,CARTÕES!$K36+10-1))</f>
        <v/>
      </c>
      <c r="M36" s="57">
        <f>IF(OR(CARTÕES!$K36=0,CARTÕES!$F36=""),0,IF(11&gt;CARTÕES!$F36,0,CARTÕES!$K36+11-1))</f>
        <v/>
      </c>
      <c r="N36" s="57">
        <f>IF(OR(CARTÕES!$K36=0,CARTÕES!$F36=""),0,IF(12&gt;CARTÕES!$F36,0,CARTÕES!$K36+12-1))</f>
        <v/>
      </c>
      <c r="O36" s="57">
        <f>IF(OR(CARTÕES!$K36=0,CARTÕES!$F36=""),0,IF(13&gt;CARTÕES!$F36,0,CARTÕES!$K36+13-1))</f>
        <v/>
      </c>
      <c r="P36" s="57">
        <f>IF(OR(CARTÕES!$K36=0,CARTÕES!$F36=""),0,IF(14&gt;CARTÕES!$F36,0,CARTÕES!$K36+14-1))</f>
        <v/>
      </c>
      <c r="Q36" s="57">
        <f>IF(OR(CARTÕES!$K36=0,CARTÕES!$F36=""),0,IF(15&gt;CARTÕES!$F36,0,CARTÕES!$K36+15-1))</f>
        <v/>
      </c>
      <c r="R36" s="57">
        <f>IF(OR(CARTÕES!$K36=0,CARTÕES!$F36=""),0,IF(16&gt;CARTÕES!$F36,0,CARTÕES!$K36+16-1))</f>
        <v/>
      </c>
      <c r="S36" s="57">
        <f>IF(OR(CARTÕES!$K36=0,CARTÕES!$F36=""),0,IF(17&gt;CARTÕES!$F36,0,CARTÕES!$K36+17-1))</f>
        <v/>
      </c>
      <c r="T36" s="57">
        <f>IF(OR(CARTÕES!$K36=0,CARTÕES!$F36=""),0,IF(18&gt;CARTÕES!$F36,0,CARTÕES!$K36+18-1))</f>
        <v/>
      </c>
      <c r="U36" s="57">
        <f>IF(OR(CARTÕES!$K36=0,CARTÕES!$F36=""),0,IF(19&gt;CARTÕES!$F36,0,CARTÕES!$K36+19-1))</f>
        <v/>
      </c>
      <c r="V36" s="57">
        <f>IF(OR(CARTÕES!$K36=0,CARTÕES!$F36=""),0,IF(20&gt;CARTÕES!$F36,0,CARTÕES!$K36+20-1))</f>
        <v/>
      </c>
      <c r="W36" s="57">
        <f>IF(OR(CARTÕES!$K36=0,CARTÕES!$F36=""),0,IF(21&gt;CARTÕES!$F36,0,CARTÕES!$K36+21-1))</f>
        <v/>
      </c>
      <c r="X36" s="57">
        <f>IF(OR(CARTÕES!$K36=0,CARTÕES!$F36=""),0,IF(22&gt;CARTÕES!$F36,0,CARTÕES!$K36+22-1))</f>
        <v/>
      </c>
      <c r="Y36" s="57">
        <f>IF(OR(CARTÕES!$K36=0,CARTÕES!$F36=""),0,IF(23&gt;CARTÕES!$F36,0,CARTÕES!$K36+23-1))</f>
        <v/>
      </c>
      <c r="Z36" s="57">
        <f>IF(OR(CARTÕES!$K36=0,CARTÕES!$F36=""),0,IF(24&gt;CARTÕES!$F36,0,CARTÕES!$K36+24-1))</f>
        <v/>
      </c>
      <c r="AA36" s="57">
        <f>IF(OR(CARTÕES!$K36=0,CARTÕES!$F36=""),0,IF(25&gt;CARTÕES!$F36,0,CARTÕES!$K36+25-1))</f>
        <v/>
      </c>
      <c r="AB36" s="57">
        <f>IF(OR(CARTÕES!$K36=0,CARTÕES!$F36=""),0,IF(26&gt;CARTÕES!$F36,0,CARTÕES!$K36+26-1))</f>
        <v/>
      </c>
      <c r="AC36" s="57">
        <f>IF(OR(CARTÕES!$K36=0,CARTÕES!$F36=""),0,IF(27&gt;CARTÕES!$F36,0,CARTÕES!$K36+27-1))</f>
        <v/>
      </c>
      <c r="AD36" s="57">
        <f>IF(OR(CARTÕES!$K36=0,CARTÕES!$F36=""),0,IF(28&gt;CARTÕES!$F36,0,CARTÕES!$K36+28-1))</f>
        <v/>
      </c>
      <c r="AE36" s="57">
        <f>IF(OR(CARTÕES!$K36=0,CARTÕES!$F36=""),0,IF(29&gt;CARTÕES!$F36,0,CARTÕES!$K36+29-1))</f>
        <v/>
      </c>
      <c r="AF36" s="57">
        <f>IF(OR(CARTÕES!$K36=0,CARTÕES!$F36=""),0,IF(30&gt;CARTÕES!$F36,0,CARTÕES!$K36+30-1))</f>
        <v/>
      </c>
      <c r="AG36" s="57">
        <f>IF(OR(CARTÕES!$K36=0,CARTÕES!$F36=""),0,IF(31&gt;CARTÕES!$F36,0,CARTÕES!$K36+31-1))</f>
        <v/>
      </c>
      <c r="AH36" s="57">
        <f>IF(OR(CARTÕES!$K36=0,CARTÕES!$F36=""),0,IF(32&gt;CARTÕES!$F36,0,CARTÕES!$K36+32-1))</f>
        <v/>
      </c>
      <c r="AI36" s="57">
        <f>IF(OR(CARTÕES!$K36=0,CARTÕES!$F36=""),0,IF(33&gt;CARTÕES!$F36,0,CARTÕES!$K36+33-1))</f>
        <v/>
      </c>
      <c r="AJ36" s="57">
        <f>IF(OR(CARTÕES!$K36=0,CARTÕES!$F36=""),0,IF(34&gt;CARTÕES!$F36,0,CARTÕES!$K36+34-1))</f>
        <v/>
      </c>
      <c r="AK36" s="57">
        <f>IF(OR(CARTÕES!$K36=0,CARTÕES!$F36=""),0,IF(35&gt;CARTÕES!$F36,0,CARTÕES!$K36+35-1))</f>
        <v/>
      </c>
      <c r="AL36" s="57">
        <f>IF(OR(CARTÕES!$K36=0,CARTÕES!$F36=""),0,IF(36&gt;CARTÕES!$F36,0,CARTÕES!$K36+36-1))</f>
        <v/>
      </c>
      <c r="AM36" s="57">
        <f>IF(C36=0,0,IF(1=CARTÕES!$F36,CARTÕES!$E36-(CARTÕES!$F36-1)*ROUND(CARTÕES!$E36/CARTÕES!$F36,0),ROUND(CARTÕES!$E36/CARTÕES!$F36,0)))</f>
        <v/>
      </c>
      <c r="AN36" s="57">
        <f>IF(D36=0,0,IF(2=CARTÕES!$F36,CARTÕES!$E36-(CARTÕES!$F36-1)*ROUND(CARTÕES!$E36/CARTÕES!$F36,0),ROUND(CARTÕES!$E36/CARTÕES!$F36,0)))</f>
        <v/>
      </c>
      <c r="AO36" s="57">
        <f>IF(E36=0,0,IF(3=CARTÕES!$F36,CARTÕES!$E36-(CARTÕES!$F36-1)*ROUND(CARTÕES!$E36/CARTÕES!$F36,0),ROUND(CARTÕES!$E36/CARTÕES!$F36,0)))</f>
        <v/>
      </c>
      <c r="AP36" s="57">
        <f>IF(F36=0,0,IF(4=CARTÕES!$F36,CARTÕES!$E36-(CARTÕES!$F36-1)*ROUND(CARTÕES!$E36/CARTÕES!$F36,0),ROUND(CARTÕES!$E36/CARTÕES!$F36,0)))</f>
        <v/>
      </c>
      <c r="AQ36" s="57">
        <f>IF(G36=0,0,IF(5=CARTÕES!$F36,CARTÕES!$E36-(CARTÕES!$F36-1)*ROUND(CARTÕES!$E36/CARTÕES!$F36,0),ROUND(CARTÕES!$E36/CARTÕES!$F36,0)))</f>
        <v/>
      </c>
      <c r="AR36" s="57">
        <f>IF(H36=0,0,IF(6=CARTÕES!$F36,CARTÕES!$E36-(CARTÕES!$F36-1)*ROUND(CARTÕES!$E36/CARTÕES!$F36,0),ROUND(CARTÕES!$E36/CARTÕES!$F36,0)))</f>
        <v/>
      </c>
      <c r="AS36" s="57">
        <f>IF(I36=0,0,IF(7=CARTÕES!$F36,CARTÕES!$E36-(CARTÕES!$F36-1)*ROUND(CARTÕES!$E36/CARTÕES!$F36,0),ROUND(CARTÕES!$E36/CARTÕES!$F36,0)))</f>
        <v/>
      </c>
      <c r="AT36" s="57">
        <f>IF(J36=0,0,IF(8=CARTÕES!$F36,CARTÕES!$E36-(CARTÕES!$F36-1)*ROUND(CARTÕES!$E36/CARTÕES!$F36,0),ROUND(CARTÕES!$E36/CARTÕES!$F36,0)))</f>
        <v/>
      </c>
      <c r="AU36" s="57">
        <f>IF(K36=0,0,IF(9=CARTÕES!$F36,CARTÕES!$E36-(CARTÕES!$F36-1)*ROUND(CARTÕES!$E36/CARTÕES!$F36,0),ROUND(CARTÕES!$E36/CARTÕES!$F36,0)))</f>
        <v/>
      </c>
      <c r="AV36" s="57">
        <f>IF(L36=0,0,IF(10=CARTÕES!$F36,CARTÕES!$E36-(CARTÕES!$F36-1)*ROUND(CARTÕES!$E36/CARTÕES!$F36,0),ROUND(CARTÕES!$E36/CARTÕES!$F36,0)))</f>
        <v/>
      </c>
      <c r="AW36" s="57">
        <f>IF(M36=0,0,IF(11=CARTÕES!$F36,CARTÕES!$E36-(CARTÕES!$F36-1)*ROUND(CARTÕES!$E36/CARTÕES!$F36,0),ROUND(CARTÕES!$E36/CARTÕES!$F36,0)))</f>
        <v/>
      </c>
      <c r="AX36" s="57">
        <f>IF(N36=0,0,IF(12=CARTÕES!$F36,CARTÕES!$E36-(CARTÕES!$F36-1)*ROUND(CARTÕES!$E36/CARTÕES!$F36,0),ROUND(CARTÕES!$E36/CARTÕES!$F36,0)))</f>
        <v/>
      </c>
      <c r="AY36" s="57">
        <f>IF(O36=0,0,IF(13=CARTÕES!$F36,CARTÕES!$E36-(CARTÕES!$F36-1)*ROUND(CARTÕES!$E36/CARTÕES!$F36,0),ROUND(CARTÕES!$E36/CARTÕES!$F36,0)))</f>
        <v/>
      </c>
      <c r="AZ36" s="57">
        <f>IF(P36=0,0,IF(14=CARTÕES!$F36,CARTÕES!$E36-(CARTÕES!$F36-1)*ROUND(CARTÕES!$E36/CARTÕES!$F36,0),ROUND(CARTÕES!$E36/CARTÕES!$F36,0)))</f>
        <v/>
      </c>
      <c r="BA36" s="57">
        <f>IF(Q36=0,0,IF(15=CARTÕES!$F36,CARTÕES!$E36-(CARTÕES!$F36-1)*ROUND(CARTÕES!$E36/CARTÕES!$F36,0),ROUND(CARTÕES!$E36/CARTÕES!$F36,0)))</f>
        <v/>
      </c>
      <c r="BB36" s="57">
        <f>IF(R36=0,0,IF(16=CARTÕES!$F36,CARTÕES!$E36-(CARTÕES!$F36-1)*ROUND(CARTÕES!$E36/CARTÕES!$F36,0),ROUND(CARTÕES!$E36/CARTÕES!$F36,0)))</f>
        <v/>
      </c>
      <c r="BC36" s="57">
        <f>IF(S36=0,0,IF(17=CARTÕES!$F36,CARTÕES!$E36-(CARTÕES!$F36-1)*ROUND(CARTÕES!$E36/CARTÕES!$F36,0),ROUND(CARTÕES!$E36/CARTÕES!$F36,0)))</f>
        <v/>
      </c>
      <c r="BD36" s="57">
        <f>IF(T36=0,0,IF(18=CARTÕES!$F36,CARTÕES!$E36-(CARTÕES!$F36-1)*ROUND(CARTÕES!$E36/CARTÕES!$F36,0),ROUND(CARTÕES!$E36/CARTÕES!$F36,0)))</f>
        <v/>
      </c>
      <c r="BE36" s="57">
        <f>IF(U36=0,0,IF(19=CARTÕES!$F36,CARTÕES!$E36-(CARTÕES!$F36-1)*ROUND(CARTÕES!$E36/CARTÕES!$F36,0),ROUND(CARTÕES!$E36/CARTÕES!$F36,0)))</f>
        <v/>
      </c>
      <c r="BF36" s="57">
        <f>IF(V36=0,0,IF(20=CARTÕES!$F36,CARTÕES!$E36-(CARTÕES!$F36-1)*ROUND(CARTÕES!$E36/CARTÕES!$F36,0),ROUND(CARTÕES!$E36/CARTÕES!$F36,0)))</f>
        <v/>
      </c>
      <c r="BG36" s="57">
        <f>IF(W36=0,0,IF(21=CARTÕES!$F36,CARTÕES!$E36-(CARTÕES!$F36-1)*ROUND(CARTÕES!$E36/CARTÕES!$F36,0),ROUND(CARTÕES!$E36/CARTÕES!$F36,0)))</f>
        <v/>
      </c>
      <c r="BH36" s="57">
        <f>IF(X36=0,0,IF(22=CARTÕES!$F36,CARTÕES!$E36-(CARTÕES!$F36-1)*ROUND(CARTÕES!$E36/CARTÕES!$F36,0),ROUND(CARTÕES!$E36/CARTÕES!$F36,0)))</f>
        <v/>
      </c>
      <c r="BI36" s="57">
        <f>IF(Y36=0,0,IF(23=CARTÕES!$F36,CARTÕES!$E36-(CARTÕES!$F36-1)*ROUND(CARTÕES!$E36/CARTÕES!$F36,0),ROUND(CARTÕES!$E36/CARTÕES!$F36,0)))</f>
        <v/>
      </c>
      <c r="BJ36" s="57">
        <f>IF(Z36=0,0,IF(24=CARTÕES!$F36,CARTÕES!$E36-(CARTÕES!$F36-1)*ROUND(CARTÕES!$E36/CARTÕES!$F36,0),ROUND(CARTÕES!$E36/CARTÕES!$F36,0)))</f>
        <v/>
      </c>
      <c r="BK36" s="57">
        <f>IF(AA36=0,0,IF(25=CARTÕES!$F36,CARTÕES!$E36-(CARTÕES!$F36-1)*ROUND(CARTÕES!$E36/CARTÕES!$F36,0),ROUND(CARTÕES!$E36/CARTÕES!$F36,0)))</f>
        <v/>
      </c>
      <c r="BL36" s="57">
        <f>IF(AB36=0,0,IF(26=CARTÕES!$F36,CARTÕES!$E36-(CARTÕES!$F36-1)*ROUND(CARTÕES!$E36/CARTÕES!$F36,0),ROUND(CARTÕES!$E36/CARTÕES!$F36,0)))</f>
        <v/>
      </c>
      <c r="BM36" s="57">
        <f>IF(AC36=0,0,IF(27=CARTÕES!$F36,CARTÕES!$E36-(CARTÕES!$F36-1)*ROUND(CARTÕES!$E36/CARTÕES!$F36,0),ROUND(CARTÕES!$E36/CARTÕES!$F36,0)))</f>
        <v/>
      </c>
      <c r="BN36" s="57">
        <f>IF(AD36=0,0,IF(28=CARTÕES!$F36,CARTÕES!$E36-(CARTÕES!$F36-1)*ROUND(CARTÕES!$E36/CARTÕES!$F36,0),ROUND(CARTÕES!$E36/CARTÕES!$F36,0)))</f>
        <v/>
      </c>
      <c r="BO36" s="57">
        <f>IF(AE36=0,0,IF(29=CARTÕES!$F36,CARTÕES!$E36-(CARTÕES!$F36-1)*ROUND(CARTÕES!$E36/CARTÕES!$F36,0),ROUND(CARTÕES!$E36/CARTÕES!$F36,0)))</f>
        <v/>
      </c>
      <c r="BP36" s="57">
        <f>IF(AF36=0,0,IF(30=CARTÕES!$F36,CARTÕES!$E36-(CARTÕES!$F36-1)*ROUND(CARTÕES!$E36/CARTÕES!$F36,0),ROUND(CARTÕES!$E36/CARTÕES!$F36,0)))</f>
        <v/>
      </c>
      <c r="BQ36" s="57">
        <f>IF(AG36=0,0,IF(31=CARTÕES!$F36,CARTÕES!$E36-(CARTÕES!$F36-1)*ROUND(CARTÕES!$E36/CARTÕES!$F36,0),ROUND(CARTÕES!$E36/CARTÕES!$F36,0)))</f>
        <v/>
      </c>
      <c r="BR36" s="57">
        <f>IF(AH36=0,0,IF(32=CARTÕES!$F36,CARTÕES!$E36-(CARTÕES!$F36-1)*ROUND(CARTÕES!$E36/CARTÕES!$F36,0),ROUND(CARTÕES!$E36/CARTÕES!$F36,0)))</f>
        <v/>
      </c>
      <c r="BS36" s="57">
        <f>IF(AI36=0,0,IF(33=CARTÕES!$F36,CARTÕES!$E36-(CARTÕES!$F36-1)*ROUND(CARTÕES!$E36/CARTÕES!$F36,0),ROUND(CARTÕES!$E36/CARTÕES!$F36,0)))</f>
        <v/>
      </c>
      <c r="BT36" s="57">
        <f>IF(AJ36=0,0,IF(34=CARTÕES!$F36,CARTÕES!$E36-(CARTÕES!$F36-1)*ROUND(CARTÕES!$E36/CARTÕES!$F36,0),ROUND(CARTÕES!$E36/CARTÕES!$F36,0)))</f>
        <v/>
      </c>
      <c r="BU36" s="57">
        <f>IF(AK36=0,0,IF(35=CARTÕES!$F36,CARTÕES!$E36-(CARTÕES!$F36-1)*ROUND(CARTÕES!$E36/CARTÕES!$F36,0),ROUND(CARTÕES!$E36/CARTÕES!$F36,0)))</f>
        <v/>
      </c>
      <c r="BV36" s="57">
        <f>IF(AL36=0,0,IF(36=CARTÕES!$F36,CARTÕES!$E36-(CARTÕES!$F36-1)*ROUND(CARTÕES!$E36/CARTÕES!$F36,0),ROUND(CARTÕES!$E36/CARTÕES!$F36,0)))</f>
        <v/>
      </c>
    </row>
    <row r="37">
      <c r="A37" s="55">
        <f>IF(CARTÕES!$C37="","",CARTÕES!$C37)</f>
        <v/>
      </c>
      <c r="B37" s="56">
        <f>SUMPRODUCT((C37:AL37='RESUMO MENSAL'!$C$4)*AM37:BV37)</f>
        <v/>
      </c>
      <c r="C37" s="57">
        <f>IF(OR(CARTÕES!$K37=0,CARTÕES!$F37=""),0,IF(1&gt;CARTÕES!$F37,0,CARTÕES!$K37+1-1))</f>
        <v/>
      </c>
      <c r="D37" s="57">
        <f>IF(OR(CARTÕES!$K37=0,CARTÕES!$F37=""),0,IF(2&gt;CARTÕES!$F37,0,CARTÕES!$K37+2-1))</f>
        <v/>
      </c>
      <c r="E37" s="57">
        <f>IF(OR(CARTÕES!$K37=0,CARTÕES!$F37=""),0,IF(3&gt;CARTÕES!$F37,0,CARTÕES!$K37+3-1))</f>
        <v/>
      </c>
      <c r="F37" s="57">
        <f>IF(OR(CARTÕES!$K37=0,CARTÕES!$F37=""),0,IF(4&gt;CARTÕES!$F37,0,CARTÕES!$K37+4-1))</f>
        <v/>
      </c>
      <c r="G37" s="57">
        <f>IF(OR(CARTÕES!$K37=0,CARTÕES!$F37=""),0,IF(5&gt;CARTÕES!$F37,0,CARTÕES!$K37+5-1))</f>
        <v/>
      </c>
      <c r="H37" s="57">
        <f>IF(OR(CARTÕES!$K37=0,CARTÕES!$F37=""),0,IF(6&gt;CARTÕES!$F37,0,CARTÕES!$K37+6-1))</f>
        <v/>
      </c>
      <c r="I37" s="57">
        <f>IF(OR(CARTÕES!$K37=0,CARTÕES!$F37=""),0,IF(7&gt;CARTÕES!$F37,0,CARTÕES!$K37+7-1))</f>
        <v/>
      </c>
      <c r="J37" s="57">
        <f>IF(OR(CARTÕES!$K37=0,CARTÕES!$F37=""),0,IF(8&gt;CARTÕES!$F37,0,CARTÕES!$K37+8-1))</f>
        <v/>
      </c>
      <c r="K37" s="57">
        <f>IF(OR(CARTÕES!$K37=0,CARTÕES!$F37=""),0,IF(9&gt;CARTÕES!$F37,0,CARTÕES!$K37+9-1))</f>
        <v/>
      </c>
      <c r="L37" s="57">
        <f>IF(OR(CARTÕES!$K37=0,CARTÕES!$F37=""),0,IF(10&gt;CARTÕES!$F37,0,CARTÕES!$K37+10-1))</f>
        <v/>
      </c>
      <c r="M37" s="57">
        <f>IF(OR(CARTÕES!$K37=0,CARTÕES!$F37=""),0,IF(11&gt;CARTÕES!$F37,0,CARTÕES!$K37+11-1))</f>
        <v/>
      </c>
      <c r="N37" s="57">
        <f>IF(OR(CARTÕES!$K37=0,CARTÕES!$F37=""),0,IF(12&gt;CARTÕES!$F37,0,CARTÕES!$K37+12-1))</f>
        <v/>
      </c>
      <c r="O37" s="57">
        <f>IF(OR(CARTÕES!$K37=0,CARTÕES!$F37=""),0,IF(13&gt;CARTÕES!$F37,0,CARTÕES!$K37+13-1))</f>
        <v/>
      </c>
      <c r="P37" s="57">
        <f>IF(OR(CARTÕES!$K37=0,CARTÕES!$F37=""),0,IF(14&gt;CARTÕES!$F37,0,CARTÕES!$K37+14-1))</f>
        <v/>
      </c>
      <c r="Q37" s="57">
        <f>IF(OR(CARTÕES!$K37=0,CARTÕES!$F37=""),0,IF(15&gt;CARTÕES!$F37,0,CARTÕES!$K37+15-1))</f>
        <v/>
      </c>
      <c r="R37" s="57">
        <f>IF(OR(CARTÕES!$K37=0,CARTÕES!$F37=""),0,IF(16&gt;CARTÕES!$F37,0,CARTÕES!$K37+16-1))</f>
        <v/>
      </c>
      <c r="S37" s="57">
        <f>IF(OR(CARTÕES!$K37=0,CARTÕES!$F37=""),0,IF(17&gt;CARTÕES!$F37,0,CARTÕES!$K37+17-1))</f>
        <v/>
      </c>
      <c r="T37" s="57">
        <f>IF(OR(CARTÕES!$K37=0,CARTÕES!$F37=""),0,IF(18&gt;CARTÕES!$F37,0,CARTÕES!$K37+18-1))</f>
        <v/>
      </c>
      <c r="U37" s="57">
        <f>IF(OR(CARTÕES!$K37=0,CARTÕES!$F37=""),0,IF(19&gt;CARTÕES!$F37,0,CARTÕES!$K37+19-1))</f>
        <v/>
      </c>
      <c r="V37" s="57">
        <f>IF(OR(CARTÕES!$K37=0,CARTÕES!$F37=""),0,IF(20&gt;CARTÕES!$F37,0,CARTÕES!$K37+20-1))</f>
        <v/>
      </c>
      <c r="W37" s="57">
        <f>IF(OR(CARTÕES!$K37=0,CARTÕES!$F37=""),0,IF(21&gt;CARTÕES!$F37,0,CARTÕES!$K37+21-1))</f>
        <v/>
      </c>
      <c r="X37" s="57">
        <f>IF(OR(CARTÕES!$K37=0,CARTÕES!$F37=""),0,IF(22&gt;CARTÕES!$F37,0,CARTÕES!$K37+22-1))</f>
        <v/>
      </c>
      <c r="Y37" s="57">
        <f>IF(OR(CARTÕES!$K37=0,CARTÕES!$F37=""),0,IF(23&gt;CARTÕES!$F37,0,CARTÕES!$K37+23-1))</f>
        <v/>
      </c>
      <c r="Z37" s="57">
        <f>IF(OR(CARTÕES!$K37=0,CARTÕES!$F37=""),0,IF(24&gt;CARTÕES!$F37,0,CARTÕES!$K37+24-1))</f>
        <v/>
      </c>
      <c r="AA37" s="57">
        <f>IF(OR(CARTÕES!$K37=0,CARTÕES!$F37=""),0,IF(25&gt;CARTÕES!$F37,0,CARTÕES!$K37+25-1))</f>
        <v/>
      </c>
      <c r="AB37" s="57">
        <f>IF(OR(CARTÕES!$K37=0,CARTÕES!$F37=""),0,IF(26&gt;CARTÕES!$F37,0,CARTÕES!$K37+26-1))</f>
        <v/>
      </c>
      <c r="AC37" s="57">
        <f>IF(OR(CARTÕES!$K37=0,CARTÕES!$F37=""),0,IF(27&gt;CARTÕES!$F37,0,CARTÕES!$K37+27-1))</f>
        <v/>
      </c>
      <c r="AD37" s="57">
        <f>IF(OR(CARTÕES!$K37=0,CARTÕES!$F37=""),0,IF(28&gt;CARTÕES!$F37,0,CARTÕES!$K37+28-1))</f>
        <v/>
      </c>
      <c r="AE37" s="57">
        <f>IF(OR(CARTÕES!$K37=0,CARTÕES!$F37=""),0,IF(29&gt;CARTÕES!$F37,0,CARTÕES!$K37+29-1))</f>
        <v/>
      </c>
      <c r="AF37" s="57">
        <f>IF(OR(CARTÕES!$K37=0,CARTÕES!$F37=""),0,IF(30&gt;CARTÕES!$F37,0,CARTÕES!$K37+30-1))</f>
        <v/>
      </c>
      <c r="AG37" s="57">
        <f>IF(OR(CARTÕES!$K37=0,CARTÕES!$F37=""),0,IF(31&gt;CARTÕES!$F37,0,CARTÕES!$K37+31-1))</f>
        <v/>
      </c>
      <c r="AH37" s="57">
        <f>IF(OR(CARTÕES!$K37=0,CARTÕES!$F37=""),0,IF(32&gt;CARTÕES!$F37,0,CARTÕES!$K37+32-1))</f>
        <v/>
      </c>
      <c r="AI37" s="57">
        <f>IF(OR(CARTÕES!$K37=0,CARTÕES!$F37=""),0,IF(33&gt;CARTÕES!$F37,0,CARTÕES!$K37+33-1))</f>
        <v/>
      </c>
      <c r="AJ37" s="57">
        <f>IF(OR(CARTÕES!$K37=0,CARTÕES!$F37=""),0,IF(34&gt;CARTÕES!$F37,0,CARTÕES!$K37+34-1))</f>
        <v/>
      </c>
      <c r="AK37" s="57">
        <f>IF(OR(CARTÕES!$K37=0,CARTÕES!$F37=""),0,IF(35&gt;CARTÕES!$F37,0,CARTÕES!$K37+35-1))</f>
        <v/>
      </c>
      <c r="AL37" s="57">
        <f>IF(OR(CARTÕES!$K37=0,CARTÕES!$F37=""),0,IF(36&gt;CARTÕES!$F37,0,CARTÕES!$K37+36-1))</f>
        <v/>
      </c>
      <c r="AM37" s="57">
        <f>IF(C37=0,0,IF(1=CARTÕES!$F37,CARTÕES!$E37-(CARTÕES!$F37-1)*ROUND(CARTÕES!$E37/CARTÕES!$F37,0),ROUND(CARTÕES!$E37/CARTÕES!$F37,0)))</f>
        <v/>
      </c>
      <c r="AN37" s="57">
        <f>IF(D37=0,0,IF(2=CARTÕES!$F37,CARTÕES!$E37-(CARTÕES!$F37-1)*ROUND(CARTÕES!$E37/CARTÕES!$F37,0),ROUND(CARTÕES!$E37/CARTÕES!$F37,0)))</f>
        <v/>
      </c>
      <c r="AO37" s="57">
        <f>IF(E37=0,0,IF(3=CARTÕES!$F37,CARTÕES!$E37-(CARTÕES!$F37-1)*ROUND(CARTÕES!$E37/CARTÕES!$F37,0),ROUND(CARTÕES!$E37/CARTÕES!$F37,0)))</f>
        <v/>
      </c>
      <c r="AP37" s="57">
        <f>IF(F37=0,0,IF(4=CARTÕES!$F37,CARTÕES!$E37-(CARTÕES!$F37-1)*ROUND(CARTÕES!$E37/CARTÕES!$F37,0),ROUND(CARTÕES!$E37/CARTÕES!$F37,0)))</f>
        <v/>
      </c>
      <c r="AQ37" s="57">
        <f>IF(G37=0,0,IF(5=CARTÕES!$F37,CARTÕES!$E37-(CARTÕES!$F37-1)*ROUND(CARTÕES!$E37/CARTÕES!$F37,0),ROUND(CARTÕES!$E37/CARTÕES!$F37,0)))</f>
        <v/>
      </c>
      <c r="AR37" s="57">
        <f>IF(H37=0,0,IF(6=CARTÕES!$F37,CARTÕES!$E37-(CARTÕES!$F37-1)*ROUND(CARTÕES!$E37/CARTÕES!$F37,0),ROUND(CARTÕES!$E37/CARTÕES!$F37,0)))</f>
        <v/>
      </c>
      <c r="AS37" s="57">
        <f>IF(I37=0,0,IF(7=CARTÕES!$F37,CARTÕES!$E37-(CARTÕES!$F37-1)*ROUND(CARTÕES!$E37/CARTÕES!$F37,0),ROUND(CARTÕES!$E37/CARTÕES!$F37,0)))</f>
        <v/>
      </c>
      <c r="AT37" s="57">
        <f>IF(J37=0,0,IF(8=CARTÕES!$F37,CARTÕES!$E37-(CARTÕES!$F37-1)*ROUND(CARTÕES!$E37/CARTÕES!$F37,0),ROUND(CARTÕES!$E37/CARTÕES!$F37,0)))</f>
        <v/>
      </c>
      <c r="AU37" s="57">
        <f>IF(K37=0,0,IF(9=CARTÕES!$F37,CARTÕES!$E37-(CARTÕES!$F37-1)*ROUND(CARTÕES!$E37/CARTÕES!$F37,0),ROUND(CARTÕES!$E37/CARTÕES!$F37,0)))</f>
        <v/>
      </c>
      <c r="AV37" s="57">
        <f>IF(L37=0,0,IF(10=CARTÕES!$F37,CARTÕES!$E37-(CARTÕES!$F37-1)*ROUND(CARTÕES!$E37/CARTÕES!$F37,0),ROUND(CARTÕES!$E37/CARTÕES!$F37,0)))</f>
        <v/>
      </c>
      <c r="AW37" s="57">
        <f>IF(M37=0,0,IF(11=CARTÕES!$F37,CARTÕES!$E37-(CARTÕES!$F37-1)*ROUND(CARTÕES!$E37/CARTÕES!$F37,0),ROUND(CARTÕES!$E37/CARTÕES!$F37,0)))</f>
        <v/>
      </c>
      <c r="AX37" s="57">
        <f>IF(N37=0,0,IF(12=CARTÕES!$F37,CARTÕES!$E37-(CARTÕES!$F37-1)*ROUND(CARTÕES!$E37/CARTÕES!$F37,0),ROUND(CARTÕES!$E37/CARTÕES!$F37,0)))</f>
        <v/>
      </c>
      <c r="AY37" s="57">
        <f>IF(O37=0,0,IF(13=CARTÕES!$F37,CARTÕES!$E37-(CARTÕES!$F37-1)*ROUND(CARTÕES!$E37/CARTÕES!$F37,0),ROUND(CARTÕES!$E37/CARTÕES!$F37,0)))</f>
        <v/>
      </c>
      <c r="AZ37" s="57">
        <f>IF(P37=0,0,IF(14=CARTÕES!$F37,CARTÕES!$E37-(CARTÕES!$F37-1)*ROUND(CARTÕES!$E37/CARTÕES!$F37,0),ROUND(CARTÕES!$E37/CARTÕES!$F37,0)))</f>
        <v/>
      </c>
      <c r="BA37" s="57">
        <f>IF(Q37=0,0,IF(15=CARTÕES!$F37,CARTÕES!$E37-(CARTÕES!$F37-1)*ROUND(CARTÕES!$E37/CARTÕES!$F37,0),ROUND(CARTÕES!$E37/CARTÕES!$F37,0)))</f>
        <v/>
      </c>
      <c r="BB37" s="57">
        <f>IF(R37=0,0,IF(16=CARTÕES!$F37,CARTÕES!$E37-(CARTÕES!$F37-1)*ROUND(CARTÕES!$E37/CARTÕES!$F37,0),ROUND(CARTÕES!$E37/CARTÕES!$F37,0)))</f>
        <v/>
      </c>
      <c r="BC37" s="57">
        <f>IF(S37=0,0,IF(17=CARTÕES!$F37,CARTÕES!$E37-(CARTÕES!$F37-1)*ROUND(CARTÕES!$E37/CARTÕES!$F37,0),ROUND(CARTÕES!$E37/CARTÕES!$F37,0)))</f>
        <v/>
      </c>
      <c r="BD37" s="57">
        <f>IF(T37=0,0,IF(18=CARTÕES!$F37,CARTÕES!$E37-(CARTÕES!$F37-1)*ROUND(CARTÕES!$E37/CARTÕES!$F37,0),ROUND(CARTÕES!$E37/CARTÕES!$F37,0)))</f>
        <v/>
      </c>
      <c r="BE37" s="57">
        <f>IF(U37=0,0,IF(19=CARTÕES!$F37,CARTÕES!$E37-(CARTÕES!$F37-1)*ROUND(CARTÕES!$E37/CARTÕES!$F37,0),ROUND(CARTÕES!$E37/CARTÕES!$F37,0)))</f>
        <v/>
      </c>
      <c r="BF37" s="57">
        <f>IF(V37=0,0,IF(20=CARTÕES!$F37,CARTÕES!$E37-(CARTÕES!$F37-1)*ROUND(CARTÕES!$E37/CARTÕES!$F37,0),ROUND(CARTÕES!$E37/CARTÕES!$F37,0)))</f>
        <v/>
      </c>
      <c r="BG37" s="57">
        <f>IF(W37=0,0,IF(21=CARTÕES!$F37,CARTÕES!$E37-(CARTÕES!$F37-1)*ROUND(CARTÕES!$E37/CARTÕES!$F37,0),ROUND(CARTÕES!$E37/CARTÕES!$F37,0)))</f>
        <v/>
      </c>
      <c r="BH37" s="57">
        <f>IF(X37=0,0,IF(22=CARTÕES!$F37,CARTÕES!$E37-(CARTÕES!$F37-1)*ROUND(CARTÕES!$E37/CARTÕES!$F37,0),ROUND(CARTÕES!$E37/CARTÕES!$F37,0)))</f>
        <v/>
      </c>
      <c r="BI37" s="57">
        <f>IF(Y37=0,0,IF(23=CARTÕES!$F37,CARTÕES!$E37-(CARTÕES!$F37-1)*ROUND(CARTÕES!$E37/CARTÕES!$F37,0),ROUND(CARTÕES!$E37/CARTÕES!$F37,0)))</f>
        <v/>
      </c>
      <c r="BJ37" s="57">
        <f>IF(Z37=0,0,IF(24=CARTÕES!$F37,CARTÕES!$E37-(CARTÕES!$F37-1)*ROUND(CARTÕES!$E37/CARTÕES!$F37,0),ROUND(CARTÕES!$E37/CARTÕES!$F37,0)))</f>
        <v/>
      </c>
      <c r="BK37" s="57">
        <f>IF(AA37=0,0,IF(25=CARTÕES!$F37,CARTÕES!$E37-(CARTÕES!$F37-1)*ROUND(CARTÕES!$E37/CARTÕES!$F37,0),ROUND(CARTÕES!$E37/CARTÕES!$F37,0)))</f>
        <v/>
      </c>
      <c r="BL37" s="57">
        <f>IF(AB37=0,0,IF(26=CARTÕES!$F37,CARTÕES!$E37-(CARTÕES!$F37-1)*ROUND(CARTÕES!$E37/CARTÕES!$F37,0),ROUND(CARTÕES!$E37/CARTÕES!$F37,0)))</f>
        <v/>
      </c>
      <c r="BM37" s="57">
        <f>IF(AC37=0,0,IF(27=CARTÕES!$F37,CARTÕES!$E37-(CARTÕES!$F37-1)*ROUND(CARTÕES!$E37/CARTÕES!$F37,0),ROUND(CARTÕES!$E37/CARTÕES!$F37,0)))</f>
        <v/>
      </c>
      <c r="BN37" s="57">
        <f>IF(AD37=0,0,IF(28=CARTÕES!$F37,CARTÕES!$E37-(CARTÕES!$F37-1)*ROUND(CARTÕES!$E37/CARTÕES!$F37,0),ROUND(CARTÕES!$E37/CARTÕES!$F37,0)))</f>
        <v/>
      </c>
      <c r="BO37" s="57">
        <f>IF(AE37=0,0,IF(29=CARTÕES!$F37,CARTÕES!$E37-(CARTÕES!$F37-1)*ROUND(CARTÕES!$E37/CARTÕES!$F37,0),ROUND(CARTÕES!$E37/CARTÕES!$F37,0)))</f>
        <v/>
      </c>
      <c r="BP37" s="57">
        <f>IF(AF37=0,0,IF(30=CARTÕES!$F37,CARTÕES!$E37-(CARTÕES!$F37-1)*ROUND(CARTÕES!$E37/CARTÕES!$F37,0),ROUND(CARTÕES!$E37/CARTÕES!$F37,0)))</f>
        <v/>
      </c>
      <c r="BQ37" s="57">
        <f>IF(AG37=0,0,IF(31=CARTÕES!$F37,CARTÕES!$E37-(CARTÕES!$F37-1)*ROUND(CARTÕES!$E37/CARTÕES!$F37,0),ROUND(CARTÕES!$E37/CARTÕES!$F37,0)))</f>
        <v/>
      </c>
      <c r="BR37" s="57">
        <f>IF(AH37=0,0,IF(32=CARTÕES!$F37,CARTÕES!$E37-(CARTÕES!$F37-1)*ROUND(CARTÕES!$E37/CARTÕES!$F37,0),ROUND(CARTÕES!$E37/CARTÕES!$F37,0)))</f>
        <v/>
      </c>
      <c r="BS37" s="57">
        <f>IF(AI37=0,0,IF(33=CARTÕES!$F37,CARTÕES!$E37-(CARTÕES!$F37-1)*ROUND(CARTÕES!$E37/CARTÕES!$F37,0),ROUND(CARTÕES!$E37/CARTÕES!$F37,0)))</f>
        <v/>
      </c>
      <c r="BT37" s="57">
        <f>IF(AJ37=0,0,IF(34=CARTÕES!$F37,CARTÕES!$E37-(CARTÕES!$F37-1)*ROUND(CARTÕES!$E37/CARTÕES!$F37,0),ROUND(CARTÕES!$E37/CARTÕES!$F37,0)))</f>
        <v/>
      </c>
      <c r="BU37" s="57">
        <f>IF(AK37=0,0,IF(35=CARTÕES!$F37,CARTÕES!$E37-(CARTÕES!$F37-1)*ROUND(CARTÕES!$E37/CARTÕES!$F37,0),ROUND(CARTÕES!$E37/CARTÕES!$F37,0)))</f>
        <v/>
      </c>
      <c r="BV37" s="57">
        <f>IF(AL37=0,0,IF(36=CARTÕES!$F37,CARTÕES!$E37-(CARTÕES!$F37-1)*ROUND(CARTÕES!$E37/CARTÕES!$F37,0),ROUND(CARTÕES!$E37/CARTÕES!$F37,0)))</f>
        <v/>
      </c>
    </row>
    <row r="38">
      <c r="A38" s="55">
        <f>IF(CARTÕES!$C38="","",CARTÕES!$C38)</f>
        <v/>
      </c>
      <c r="B38" s="56">
        <f>SUMPRODUCT((C38:AL38='RESUMO MENSAL'!$C$4)*AM38:BV38)</f>
        <v/>
      </c>
      <c r="C38" s="57">
        <f>IF(OR(CARTÕES!$K38=0,CARTÕES!$F38=""),0,IF(1&gt;CARTÕES!$F38,0,CARTÕES!$K38+1-1))</f>
        <v/>
      </c>
      <c r="D38" s="57">
        <f>IF(OR(CARTÕES!$K38=0,CARTÕES!$F38=""),0,IF(2&gt;CARTÕES!$F38,0,CARTÕES!$K38+2-1))</f>
        <v/>
      </c>
      <c r="E38" s="57">
        <f>IF(OR(CARTÕES!$K38=0,CARTÕES!$F38=""),0,IF(3&gt;CARTÕES!$F38,0,CARTÕES!$K38+3-1))</f>
        <v/>
      </c>
      <c r="F38" s="57">
        <f>IF(OR(CARTÕES!$K38=0,CARTÕES!$F38=""),0,IF(4&gt;CARTÕES!$F38,0,CARTÕES!$K38+4-1))</f>
        <v/>
      </c>
      <c r="G38" s="57">
        <f>IF(OR(CARTÕES!$K38=0,CARTÕES!$F38=""),0,IF(5&gt;CARTÕES!$F38,0,CARTÕES!$K38+5-1))</f>
        <v/>
      </c>
      <c r="H38" s="57">
        <f>IF(OR(CARTÕES!$K38=0,CARTÕES!$F38=""),0,IF(6&gt;CARTÕES!$F38,0,CARTÕES!$K38+6-1))</f>
        <v/>
      </c>
      <c r="I38" s="57">
        <f>IF(OR(CARTÕES!$K38=0,CARTÕES!$F38=""),0,IF(7&gt;CARTÕES!$F38,0,CARTÕES!$K38+7-1))</f>
        <v/>
      </c>
      <c r="J38" s="57">
        <f>IF(OR(CARTÕES!$K38=0,CARTÕES!$F38=""),0,IF(8&gt;CARTÕES!$F38,0,CARTÕES!$K38+8-1))</f>
        <v/>
      </c>
      <c r="K38" s="57">
        <f>IF(OR(CARTÕES!$K38=0,CARTÕES!$F38=""),0,IF(9&gt;CARTÕES!$F38,0,CARTÕES!$K38+9-1))</f>
        <v/>
      </c>
      <c r="L38" s="57">
        <f>IF(OR(CARTÕES!$K38=0,CARTÕES!$F38=""),0,IF(10&gt;CARTÕES!$F38,0,CARTÕES!$K38+10-1))</f>
        <v/>
      </c>
      <c r="M38" s="57">
        <f>IF(OR(CARTÕES!$K38=0,CARTÕES!$F38=""),0,IF(11&gt;CARTÕES!$F38,0,CARTÕES!$K38+11-1))</f>
        <v/>
      </c>
      <c r="N38" s="57">
        <f>IF(OR(CARTÕES!$K38=0,CARTÕES!$F38=""),0,IF(12&gt;CARTÕES!$F38,0,CARTÕES!$K38+12-1))</f>
        <v/>
      </c>
      <c r="O38" s="57">
        <f>IF(OR(CARTÕES!$K38=0,CARTÕES!$F38=""),0,IF(13&gt;CARTÕES!$F38,0,CARTÕES!$K38+13-1))</f>
        <v/>
      </c>
      <c r="P38" s="57">
        <f>IF(OR(CARTÕES!$K38=0,CARTÕES!$F38=""),0,IF(14&gt;CARTÕES!$F38,0,CARTÕES!$K38+14-1))</f>
        <v/>
      </c>
      <c r="Q38" s="57">
        <f>IF(OR(CARTÕES!$K38=0,CARTÕES!$F38=""),0,IF(15&gt;CARTÕES!$F38,0,CARTÕES!$K38+15-1))</f>
        <v/>
      </c>
      <c r="R38" s="57">
        <f>IF(OR(CARTÕES!$K38=0,CARTÕES!$F38=""),0,IF(16&gt;CARTÕES!$F38,0,CARTÕES!$K38+16-1))</f>
        <v/>
      </c>
      <c r="S38" s="57">
        <f>IF(OR(CARTÕES!$K38=0,CARTÕES!$F38=""),0,IF(17&gt;CARTÕES!$F38,0,CARTÕES!$K38+17-1))</f>
        <v/>
      </c>
      <c r="T38" s="57">
        <f>IF(OR(CARTÕES!$K38=0,CARTÕES!$F38=""),0,IF(18&gt;CARTÕES!$F38,0,CARTÕES!$K38+18-1))</f>
        <v/>
      </c>
      <c r="U38" s="57">
        <f>IF(OR(CARTÕES!$K38=0,CARTÕES!$F38=""),0,IF(19&gt;CARTÕES!$F38,0,CARTÕES!$K38+19-1))</f>
        <v/>
      </c>
      <c r="V38" s="57">
        <f>IF(OR(CARTÕES!$K38=0,CARTÕES!$F38=""),0,IF(20&gt;CARTÕES!$F38,0,CARTÕES!$K38+20-1))</f>
        <v/>
      </c>
      <c r="W38" s="57">
        <f>IF(OR(CARTÕES!$K38=0,CARTÕES!$F38=""),0,IF(21&gt;CARTÕES!$F38,0,CARTÕES!$K38+21-1))</f>
        <v/>
      </c>
      <c r="X38" s="57">
        <f>IF(OR(CARTÕES!$K38=0,CARTÕES!$F38=""),0,IF(22&gt;CARTÕES!$F38,0,CARTÕES!$K38+22-1))</f>
        <v/>
      </c>
      <c r="Y38" s="57">
        <f>IF(OR(CARTÕES!$K38=0,CARTÕES!$F38=""),0,IF(23&gt;CARTÕES!$F38,0,CARTÕES!$K38+23-1))</f>
        <v/>
      </c>
      <c r="Z38" s="57">
        <f>IF(OR(CARTÕES!$K38=0,CARTÕES!$F38=""),0,IF(24&gt;CARTÕES!$F38,0,CARTÕES!$K38+24-1))</f>
        <v/>
      </c>
      <c r="AA38" s="57">
        <f>IF(OR(CARTÕES!$K38=0,CARTÕES!$F38=""),0,IF(25&gt;CARTÕES!$F38,0,CARTÕES!$K38+25-1))</f>
        <v/>
      </c>
      <c r="AB38" s="57">
        <f>IF(OR(CARTÕES!$K38=0,CARTÕES!$F38=""),0,IF(26&gt;CARTÕES!$F38,0,CARTÕES!$K38+26-1))</f>
        <v/>
      </c>
      <c r="AC38" s="57">
        <f>IF(OR(CARTÕES!$K38=0,CARTÕES!$F38=""),0,IF(27&gt;CARTÕES!$F38,0,CARTÕES!$K38+27-1))</f>
        <v/>
      </c>
      <c r="AD38" s="57">
        <f>IF(OR(CARTÕES!$K38=0,CARTÕES!$F38=""),0,IF(28&gt;CARTÕES!$F38,0,CARTÕES!$K38+28-1))</f>
        <v/>
      </c>
      <c r="AE38" s="57">
        <f>IF(OR(CARTÕES!$K38=0,CARTÕES!$F38=""),0,IF(29&gt;CARTÕES!$F38,0,CARTÕES!$K38+29-1))</f>
        <v/>
      </c>
      <c r="AF38" s="57">
        <f>IF(OR(CARTÕES!$K38=0,CARTÕES!$F38=""),0,IF(30&gt;CARTÕES!$F38,0,CARTÕES!$K38+30-1))</f>
        <v/>
      </c>
      <c r="AG38" s="57">
        <f>IF(OR(CARTÕES!$K38=0,CARTÕES!$F38=""),0,IF(31&gt;CARTÕES!$F38,0,CARTÕES!$K38+31-1))</f>
        <v/>
      </c>
      <c r="AH38" s="57">
        <f>IF(OR(CARTÕES!$K38=0,CARTÕES!$F38=""),0,IF(32&gt;CARTÕES!$F38,0,CARTÕES!$K38+32-1))</f>
        <v/>
      </c>
      <c r="AI38" s="57">
        <f>IF(OR(CARTÕES!$K38=0,CARTÕES!$F38=""),0,IF(33&gt;CARTÕES!$F38,0,CARTÕES!$K38+33-1))</f>
        <v/>
      </c>
      <c r="AJ38" s="57">
        <f>IF(OR(CARTÕES!$K38=0,CARTÕES!$F38=""),0,IF(34&gt;CARTÕES!$F38,0,CARTÕES!$K38+34-1))</f>
        <v/>
      </c>
      <c r="AK38" s="57">
        <f>IF(OR(CARTÕES!$K38=0,CARTÕES!$F38=""),0,IF(35&gt;CARTÕES!$F38,0,CARTÕES!$K38+35-1))</f>
        <v/>
      </c>
      <c r="AL38" s="57">
        <f>IF(OR(CARTÕES!$K38=0,CARTÕES!$F38=""),0,IF(36&gt;CARTÕES!$F38,0,CARTÕES!$K38+36-1))</f>
        <v/>
      </c>
      <c r="AM38" s="57">
        <f>IF(C38=0,0,IF(1=CARTÕES!$F38,CARTÕES!$E38-(CARTÕES!$F38-1)*ROUND(CARTÕES!$E38/CARTÕES!$F38,0),ROUND(CARTÕES!$E38/CARTÕES!$F38,0)))</f>
        <v/>
      </c>
      <c r="AN38" s="57">
        <f>IF(D38=0,0,IF(2=CARTÕES!$F38,CARTÕES!$E38-(CARTÕES!$F38-1)*ROUND(CARTÕES!$E38/CARTÕES!$F38,0),ROUND(CARTÕES!$E38/CARTÕES!$F38,0)))</f>
        <v/>
      </c>
      <c r="AO38" s="57">
        <f>IF(E38=0,0,IF(3=CARTÕES!$F38,CARTÕES!$E38-(CARTÕES!$F38-1)*ROUND(CARTÕES!$E38/CARTÕES!$F38,0),ROUND(CARTÕES!$E38/CARTÕES!$F38,0)))</f>
        <v/>
      </c>
      <c r="AP38" s="57">
        <f>IF(F38=0,0,IF(4=CARTÕES!$F38,CARTÕES!$E38-(CARTÕES!$F38-1)*ROUND(CARTÕES!$E38/CARTÕES!$F38,0),ROUND(CARTÕES!$E38/CARTÕES!$F38,0)))</f>
        <v/>
      </c>
      <c r="AQ38" s="57">
        <f>IF(G38=0,0,IF(5=CARTÕES!$F38,CARTÕES!$E38-(CARTÕES!$F38-1)*ROUND(CARTÕES!$E38/CARTÕES!$F38,0),ROUND(CARTÕES!$E38/CARTÕES!$F38,0)))</f>
        <v/>
      </c>
      <c r="AR38" s="57">
        <f>IF(H38=0,0,IF(6=CARTÕES!$F38,CARTÕES!$E38-(CARTÕES!$F38-1)*ROUND(CARTÕES!$E38/CARTÕES!$F38,0),ROUND(CARTÕES!$E38/CARTÕES!$F38,0)))</f>
        <v/>
      </c>
      <c r="AS38" s="57">
        <f>IF(I38=0,0,IF(7=CARTÕES!$F38,CARTÕES!$E38-(CARTÕES!$F38-1)*ROUND(CARTÕES!$E38/CARTÕES!$F38,0),ROUND(CARTÕES!$E38/CARTÕES!$F38,0)))</f>
        <v/>
      </c>
      <c r="AT38" s="57">
        <f>IF(J38=0,0,IF(8=CARTÕES!$F38,CARTÕES!$E38-(CARTÕES!$F38-1)*ROUND(CARTÕES!$E38/CARTÕES!$F38,0),ROUND(CARTÕES!$E38/CARTÕES!$F38,0)))</f>
        <v/>
      </c>
      <c r="AU38" s="57">
        <f>IF(K38=0,0,IF(9=CARTÕES!$F38,CARTÕES!$E38-(CARTÕES!$F38-1)*ROUND(CARTÕES!$E38/CARTÕES!$F38,0),ROUND(CARTÕES!$E38/CARTÕES!$F38,0)))</f>
        <v/>
      </c>
      <c r="AV38" s="57">
        <f>IF(L38=0,0,IF(10=CARTÕES!$F38,CARTÕES!$E38-(CARTÕES!$F38-1)*ROUND(CARTÕES!$E38/CARTÕES!$F38,0),ROUND(CARTÕES!$E38/CARTÕES!$F38,0)))</f>
        <v/>
      </c>
      <c r="AW38" s="57">
        <f>IF(M38=0,0,IF(11=CARTÕES!$F38,CARTÕES!$E38-(CARTÕES!$F38-1)*ROUND(CARTÕES!$E38/CARTÕES!$F38,0),ROUND(CARTÕES!$E38/CARTÕES!$F38,0)))</f>
        <v/>
      </c>
      <c r="AX38" s="57">
        <f>IF(N38=0,0,IF(12=CARTÕES!$F38,CARTÕES!$E38-(CARTÕES!$F38-1)*ROUND(CARTÕES!$E38/CARTÕES!$F38,0),ROUND(CARTÕES!$E38/CARTÕES!$F38,0)))</f>
        <v/>
      </c>
      <c r="AY38" s="57">
        <f>IF(O38=0,0,IF(13=CARTÕES!$F38,CARTÕES!$E38-(CARTÕES!$F38-1)*ROUND(CARTÕES!$E38/CARTÕES!$F38,0),ROUND(CARTÕES!$E38/CARTÕES!$F38,0)))</f>
        <v/>
      </c>
      <c r="AZ38" s="57">
        <f>IF(P38=0,0,IF(14=CARTÕES!$F38,CARTÕES!$E38-(CARTÕES!$F38-1)*ROUND(CARTÕES!$E38/CARTÕES!$F38,0),ROUND(CARTÕES!$E38/CARTÕES!$F38,0)))</f>
        <v/>
      </c>
      <c r="BA38" s="57">
        <f>IF(Q38=0,0,IF(15=CARTÕES!$F38,CARTÕES!$E38-(CARTÕES!$F38-1)*ROUND(CARTÕES!$E38/CARTÕES!$F38,0),ROUND(CARTÕES!$E38/CARTÕES!$F38,0)))</f>
        <v/>
      </c>
      <c r="BB38" s="57">
        <f>IF(R38=0,0,IF(16=CARTÕES!$F38,CARTÕES!$E38-(CARTÕES!$F38-1)*ROUND(CARTÕES!$E38/CARTÕES!$F38,0),ROUND(CARTÕES!$E38/CARTÕES!$F38,0)))</f>
        <v/>
      </c>
      <c r="BC38" s="57">
        <f>IF(S38=0,0,IF(17=CARTÕES!$F38,CARTÕES!$E38-(CARTÕES!$F38-1)*ROUND(CARTÕES!$E38/CARTÕES!$F38,0),ROUND(CARTÕES!$E38/CARTÕES!$F38,0)))</f>
        <v/>
      </c>
      <c r="BD38" s="57">
        <f>IF(T38=0,0,IF(18=CARTÕES!$F38,CARTÕES!$E38-(CARTÕES!$F38-1)*ROUND(CARTÕES!$E38/CARTÕES!$F38,0),ROUND(CARTÕES!$E38/CARTÕES!$F38,0)))</f>
        <v/>
      </c>
      <c r="BE38" s="57">
        <f>IF(U38=0,0,IF(19=CARTÕES!$F38,CARTÕES!$E38-(CARTÕES!$F38-1)*ROUND(CARTÕES!$E38/CARTÕES!$F38,0),ROUND(CARTÕES!$E38/CARTÕES!$F38,0)))</f>
        <v/>
      </c>
      <c r="BF38" s="57">
        <f>IF(V38=0,0,IF(20=CARTÕES!$F38,CARTÕES!$E38-(CARTÕES!$F38-1)*ROUND(CARTÕES!$E38/CARTÕES!$F38,0),ROUND(CARTÕES!$E38/CARTÕES!$F38,0)))</f>
        <v/>
      </c>
      <c r="BG38" s="57">
        <f>IF(W38=0,0,IF(21=CARTÕES!$F38,CARTÕES!$E38-(CARTÕES!$F38-1)*ROUND(CARTÕES!$E38/CARTÕES!$F38,0),ROUND(CARTÕES!$E38/CARTÕES!$F38,0)))</f>
        <v/>
      </c>
      <c r="BH38" s="57">
        <f>IF(X38=0,0,IF(22=CARTÕES!$F38,CARTÕES!$E38-(CARTÕES!$F38-1)*ROUND(CARTÕES!$E38/CARTÕES!$F38,0),ROUND(CARTÕES!$E38/CARTÕES!$F38,0)))</f>
        <v/>
      </c>
      <c r="BI38" s="57">
        <f>IF(Y38=0,0,IF(23=CARTÕES!$F38,CARTÕES!$E38-(CARTÕES!$F38-1)*ROUND(CARTÕES!$E38/CARTÕES!$F38,0),ROUND(CARTÕES!$E38/CARTÕES!$F38,0)))</f>
        <v/>
      </c>
      <c r="BJ38" s="57">
        <f>IF(Z38=0,0,IF(24=CARTÕES!$F38,CARTÕES!$E38-(CARTÕES!$F38-1)*ROUND(CARTÕES!$E38/CARTÕES!$F38,0),ROUND(CARTÕES!$E38/CARTÕES!$F38,0)))</f>
        <v/>
      </c>
      <c r="BK38" s="57">
        <f>IF(AA38=0,0,IF(25=CARTÕES!$F38,CARTÕES!$E38-(CARTÕES!$F38-1)*ROUND(CARTÕES!$E38/CARTÕES!$F38,0),ROUND(CARTÕES!$E38/CARTÕES!$F38,0)))</f>
        <v/>
      </c>
      <c r="BL38" s="57">
        <f>IF(AB38=0,0,IF(26=CARTÕES!$F38,CARTÕES!$E38-(CARTÕES!$F38-1)*ROUND(CARTÕES!$E38/CARTÕES!$F38,0),ROUND(CARTÕES!$E38/CARTÕES!$F38,0)))</f>
        <v/>
      </c>
      <c r="BM38" s="57">
        <f>IF(AC38=0,0,IF(27=CARTÕES!$F38,CARTÕES!$E38-(CARTÕES!$F38-1)*ROUND(CARTÕES!$E38/CARTÕES!$F38,0),ROUND(CARTÕES!$E38/CARTÕES!$F38,0)))</f>
        <v/>
      </c>
      <c r="BN38" s="57">
        <f>IF(AD38=0,0,IF(28=CARTÕES!$F38,CARTÕES!$E38-(CARTÕES!$F38-1)*ROUND(CARTÕES!$E38/CARTÕES!$F38,0),ROUND(CARTÕES!$E38/CARTÕES!$F38,0)))</f>
        <v/>
      </c>
      <c r="BO38" s="57">
        <f>IF(AE38=0,0,IF(29=CARTÕES!$F38,CARTÕES!$E38-(CARTÕES!$F38-1)*ROUND(CARTÕES!$E38/CARTÕES!$F38,0),ROUND(CARTÕES!$E38/CARTÕES!$F38,0)))</f>
        <v/>
      </c>
      <c r="BP38" s="57">
        <f>IF(AF38=0,0,IF(30=CARTÕES!$F38,CARTÕES!$E38-(CARTÕES!$F38-1)*ROUND(CARTÕES!$E38/CARTÕES!$F38,0),ROUND(CARTÕES!$E38/CARTÕES!$F38,0)))</f>
        <v/>
      </c>
      <c r="BQ38" s="57">
        <f>IF(AG38=0,0,IF(31=CARTÕES!$F38,CARTÕES!$E38-(CARTÕES!$F38-1)*ROUND(CARTÕES!$E38/CARTÕES!$F38,0),ROUND(CARTÕES!$E38/CARTÕES!$F38,0)))</f>
        <v/>
      </c>
      <c r="BR38" s="57">
        <f>IF(AH38=0,0,IF(32=CARTÕES!$F38,CARTÕES!$E38-(CARTÕES!$F38-1)*ROUND(CARTÕES!$E38/CARTÕES!$F38,0),ROUND(CARTÕES!$E38/CARTÕES!$F38,0)))</f>
        <v/>
      </c>
      <c r="BS38" s="57">
        <f>IF(AI38=0,0,IF(33=CARTÕES!$F38,CARTÕES!$E38-(CARTÕES!$F38-1)*ROUND(CARTÕES!$E38/CARTÕES!$F38,0),ROUND(CARTÕES!$E38/CARTÕES!$F38,0)))</f>
        <v/>
      </c>
      <c r="BT38" s="57">
        <f>IF(AJ38=0,0,IF(34=CARTÕES!$F38,CARTÕES!$E38-(CARTÕES!$F38-1)*ROUND(CARTÕES!$E38/CARTÕES!$F38,0),ROUND(CARTÕES!$E38/CARTÕES!$F38,0)))</f>
        <v/>
      </c>
      <c r="BU38" s="57">
        <f>IF(AK38=0,0,IF(35=CARTÕES!$F38,CARTÕES!$E38-(CARTÕES!$F38-1)*ROUND(CARTÕES!$E38/CARTÕES!$F38,0),ROUND(CARTÕES!$E38/CARTÕES!$F38,0)))</f>
        <v/>
      </c>
      <c r="BV38" s="57">
        <f>IF(AL38=0,0,IF(36=CARTÕES!$F38,CARTÕES!$E38-(CARTÕES!$F38-1)*ROUND(CARTÕES!$E38/CARTÕES!$F38,0),ROUND(CARTÕES!$E38/CARTÕES!$F38,0)))</f>
        <v/>
      </c>
    </row>
    <row r="39">
      <c r="A39" s="55">
        <f>IF(CARTÕES!$C39="","",CARTÕES!$C39)</f>
        <v/>
      </c>
      <c r="B39" s="56">
        <f>SUMPRODUCT((C39:AL39='RESUMO MENSAL'!$C$4)*AM39:BV39)</f>
        <v/>
      </c>
      <c r="C39" s="57">
        <f>IF(OR(CARTÕES!$K39=0,CARTÕES!$F39=""),0,IF(1&gt;CARTÕES!$F39,0,CARTÕES!$K39+1-1))</f>
        <v/>
      </c>
      <c r="D39" s="57">
        <f>IF(OR(CARTÕES!$K39=0,CARTÕES!$F39=""),0,IF(2&gt;CARTÕES!$F39,0,CARTÕES!$K39+2-1))</f>
        <v/>
      </c>
      <c r="E39" s="57">
        <f>IF(OR(CARTÕES!$K39=0,CARTÕES!$F39=""),0,IF(3&gt;CARTÕES!$F39,0,CARTÕES!$K39+3-1))</f>
        <v/>
      </c>
      <c r="F39" s="57">
        <f>IF(OR(CARTÕES!$K39=0,CARTÕES!$F39=""),0,IF(4&gt;CARTÕES!$F39,0,CARTÕES!$K39+4-1))</f>
        <v/>
      </c>
      <c r="G39" s="57">
        <f>IF(OR(CARTÕES!$K39=0,CARTÕES!$F39=""),0,IF(5&gt;CARTÕES!$F39,0,CARTÕES!$K39+5-1))</f>
        <v/>
      </c>
      <c r="H39" s="57">
        <f>IF(OR(CARTÕES!$K39=0,CARTÕES!$F39=""),0,IF(6&gt;CARTÕES!$F39,0,CARTÕES!$K39+6-1))</f>
        <v/>
      </c>
      <c r="I39" s="57">
        <f>IF(OR(CARTÕES!$K39=0,CARTÕES!$F39=""),0,IF(7&gt;CARTÕES!$F39,0,CARTÕES!$K39+7-1))</f>
        <v/>
      </c>
      <c r="J39" s="57">
        <f>IF(OR(CARTÕES!$K39=0,CARTÕES!$F39=""),0,IF(8&gt;CARTÕES!$F39,0,CARTÕES!$K39+8-1))</f>
        <v/>
      </c>
      <c r="K39" s="57">
        <f>IF(OR(CARTÕES!$K39=0,CARTÕES!$F39=""),0,IF(9&gt;CARTÕES!$F39,0,CARTÕES!$K39+9-1))</f>
        <v/>
      </c>
      <c r="L39" s="57">
        <f>IF(OR(CARTÕES!$K39=0,CARTÕES!$F39=""),0,IF(10&gt;CARTÕES!$F39,0,CARTÕES!$K39+10-1))</f>
        <v/>
      </c>
      <c r="M39" s="57">
        <f>IF(OR(CARTÕES!$K39=0,CARTÕES!$F39=""),0,IF(11&gt;CARTÕES!$F39,0,CARTÕES!$K39+11-1))</f>
        <v/>
      </c>
      <c r="N39" s="57">
        <f>IF(OR(CARTÕES!$K39=0,CARTÕES!$F39=""),0,IF(12&gt;CARTÕES!$F39,0,CARTÕES!$K39+12-1))</f>
        <v/>
      </c>
      <c r="O39" s="57">
        <f>IF(OR(CARTÕES!$K39=0,CARTÕES!$F39=""),0,IF(13&gt;CARTÕES!$F39,0,CARTÕES!$K39+13-1))</f>
        <v/>
      </c>
      <c r="P39" s="57">
        <f>IF(OR(CARTÕES!$K39=0,CARTÕES!$F39=""),0,IF(14&gt;CARTÕES!$F39,0,CARTÕES!$K39+14-1))</f>
        <v/>
      </c>
      <c r="Q39" s="57">
        <f>IF(OR(CARTÕES!$K39=0,CARTÕES!$F39=""),0,IF(15&gt;CARTÕES!$F39,0,CARTÕES!$K39+15-1))</f>
        <v/>
      </c>
      <c r="R39" s="57">
        <f>IF(OR(CARTÕES!$K39=0,CARTÕES!$F39=""),0,IF(16&gt;CARTÕES!$F39,0,CARTÕES!$K39+16-1))</f>
        <v/>
      </c>
      <c r="S39" s="57">
        <f>IF(OR(CARTÕES!$K39=0,CARTÕES!$F39=""),0,IF(17&gt;CARTÕES!$F39,0,CARTÕES!$K39+17-1))</f>
        <v/>
      </c>
      <c r="T39" s="57">
        <f>IF(OR(CARTÕES!$K39=0,CARTÕES!$F39=""),0,IF(18&gt;CARTÕES!$F39,0,CARTÕES!$K39+18-1))</f>
        <v/>
      </c>
      <c r="U39" s="57">
        <f>IF(OR(CARTÕES!$K39=0,CARTÕES!$F39=""),0,IF(19&gt;CARTÕES!$F39,0,CARTÕES!$K39+19-1))</f>
        <v/>
      </c>
      <c r="V39" s="57">
        <f>IF(OR(CARTÕES!$K39=0,CARTÕES!$F39=""),0,IF(20&gt;CARTÕES!$F39,0,CARTÕES!$K39+20-1))</f>
        <v/>
      </c>
      <c r="W39" s="57">
        <f>IF(OR(CARTÕES!$K39=0,CARTÕES!$F39=""),0,IF(21&gt;CARTÕES!$F39,0,CARTÕES!$K39+21-1))</f>
        <v/>
      </c>
      <c r="X39" s="57">
        <f>IF(OR(CARTÕES!$K39=0,CARTÕES!$F39=""),0,IF(22&gt;CARTÕES!$F39,0,CARTÕES!$K39+22-1))</f>
        <v/>
      </c>
      <c r="Y39" s="57">
        <f>IF(OR(CARTÕES!$K39=0,CARTÕES!$F39=""),0,IF(23&gt;CARTÕES!$F39,0,CARTÕES!$K39+23-1))</f>
        <v/>
      </c>
      <c r="Z39" s="57">
        <f>IF(OR(CARTÕES!$K39=0,CARTÕES!$F39=""),0,IF(24&gt;CARTÕES!$F39,0,CARTÕES!$K39+24-1))</f>
        <v/>
      </c>
      <c r="AA39" s="57">
        <f>IF(OR(CARTÕES!$K39=0,CARTÕES!$F39=""),0,IF(25&gt;CARTÕES!$F39,0,CARTÕES!$K39+25-1))</f>
        <v/>
      </c>
      <c r="AB39" s="57">
        <f>IF(OR(CARTÕES!$K39=0,CARTÕES!$F39=""),0,IF(26&gt;CARTÕES!$F39,0,CARTÕES!$K39+26-1))</f>
        <v/>
      </c>
      <c r="AC39" s="57">
        <f>IF(OR(CARTÕES!$K39=0,CARTÕES!$F39=""),0,IF(27&gt;CARTÕES!$F39,0,CARTÕES!$K39+27-1))</f>
        <v/>
      </c>
      <c r="AD39" s="57">
        <f>IF(OR(CARTÕES!$K39=0,CARTÕES!$F39=""),0,IF(28&gt;CARTÕES!$F39,0,CARTÕES!$K39+28-1))</f>
        <v/>
      </c>
      <c r="AE39" s="57">
        <f>IF(OR(CARTÕES!$K39=0,CARTÕES!$F39=""),0,IF(29&gt;CARTÕES!$F39,0,CARTÕES!$K39+29-1))</f>
        <v/>
      </c>
      <c r="AF39" s="57">
        <f>IF(OR(CARTÕES!$K39=0,CARTÕES!$F39=""),0,IF(30&gt;CARTÕES!$F39,0,CARTÕES!$K39+30-1))</f>
        <v/>
      </c>
      <c r="AG39" s="57">
        <f>IF(OR(CARTÕES!$K39=0,CARTÕES!$F39=""),0,IF(31&gt;CARTÕES!$F39,0,CARTÕES!$K39+31-1))</f>
        <v/>
      </c>
      <c r="AH39" s="57">
        <f>IF(OR(CARTÕES!$K39=0,CARTÕES!$F39=""),0,IF(32&gt;CARTÕES!$F39,0,CARTÕES!$K39+32-1))</f>
        <v/>
      </c>
      <c r="AI39" s="57">
        <f>IF(OR(CARTÕES!$K39=0,CARTÕES!$F39=""),0,IF(33&gt;CARTÕES!$F39,0,CARTÕES!$K39+33-1))</f>
        <v/>
      </c>
      <c r="AJ39" s="57">
        <f>IF(OR(CARTÕES!$K39=0,CARTÕES!$F39=""),0,IF(34&gt;CARTÕES!$F39,0,CARTÕES!$K39+34-1))</f>
        <v/>
      </c>
      <c r="AK39" s="57">
        <f>IF(OR(CARTÕES!$K39=0,CARTÕES!$F39=""),0,IF(35&gt;CARTÕES!$F39,0,CARTÕES!$K39+35-1))</f>
        <v/>
      </c>
      <c r="AL39" s="57">
        <f>IF(OR(CARTÕES!$K39=0,CARTÕES!$F39=""),0,IF(36&gt;CARTÕES!$F39,0,CARTÕES!$K39+36-1))</f>
        <v/>
      </c>
      <c r="AM39" s="57">
        <f>IF(C39=0,0,IF(1=CARTÕES!$F39,CARTÕES!$E39-(CARTÕES!$F39-1)*ROUND(CARTÕES!$E39/CARTÕES!$F39,0),ROUND(CARTÕES!$E39/CARTÕES!$F39,0)))</f>
        <v/>
      </c>
      <c r="AN39" s="57">
        <f>IF(D39=0,0,IF(2=CARTÕES!$F39,CARTÕES!$E39-(CARTÕES!$F39-1)*ROUND(CARTÕES!$E39/CARTÕES!$F39,0),ROUND(CARTÕES!$E39/CARTÕES!$F39,0)))</f>
        <v/>
      </c>
      <c r="AO39" s="57">
        <f>IF(E39=0,0,IF(3=CARTÕES!$F39,CARTÕES!$E39-(CARTÕES!$F39-1)*ROUND(CARTÕES!$E39/CARTÕES!$F39,0),ROUND(CARTÕES!$E39/CARTÕES!$F39,0)))</f>
        <v/>
      </c>
      <c r="AP39" s="57">
        <f>IF(F39=0,0,IF(4=CARTÕES!$F39,CARTÕES!$E39-(CARTÕES!$F39-1)*ROUND(CARTÕES!$E39/CARTÕES!$F39,0),ROUND(CARTÕES!$E39/CARTÕES!$F39,0)))</f>
        <v/>
      </c>
      <c r="AQ39" s="57">
        <f>IF(G39=0,0,IF(5=CARTÕES!$F39,CARTÕES!$E39-(CARTÕES!$F39-1)*ROUND(CARTÕES!$E39/CARTÕES!$F39,0),ROUND(CARTÕES!$E39/CARTÕES!$F39,0)))</f>
        <v/>
      </c>
      <c r="AR39" s="57">
        <f>IF(H39=0,0,IF(6=CARTÕES!$F39,CARTÕES!$E39-(CARTÕES!$F39-1)*ROUND(CARTÕES!$E39/CARTÕES!$F39,0),ROUND(CARTÕES!$E39/CARTÕES!$F39,0)))</f>
        <v/>
      </c>
      <c r="AS39" s="57">
        <f>IF(I39=0,0,IF(7=CARTÕES!$F39,CARTÕES!$E39-(CARTÕES!$F39-1)*ROUND(CARTÕES!$E39/CARTÕES!$F39,0),ROUND(CARTÕES!$E39/CARTÕES!$F39,0)))</f>
        <v/>
      </c>
      <c r="AT39" s="57">
        <f>IF(J39=0,0,IF(8=CARTÕES!$F39,CARTÕES!$E39-(CARTÕES!$F39-1)*ROUND(CARTÕES!$E39/CARTÕES!$F39,0),ROUND(CARTÕES!$E39/CARTÕES!$F39,0)))</f>
        <v/>
      </c>
      <c r="AU39" s="57">
        <f>IF(K39=0,0,IF(9=CARTÕES!$F39,CARTÕES!$E39-(CARTÕES!$F39-1)*ROUND(CARTÕES!$E39/CARTÕES!$F39,0),ROUND(CARTÕES!$E39/CARTÕES!$F39,0)))</f>
        <v/>
      </c>
      <c r="AV39" s="57">
        <f>IF(L39=0,0,IF(10=CARTÕES!$F39,CARTÕES!$E39-(CARTÕES!$F39-1)*ROUND(CARTÕES!$E39/CARTÕES!$F39,0),ROUND(CARTÕES!$E39/CARTÕES!$F39,0)))</f>
        <v/>
      </c>
      <c r="AW39" s="57">
        <f>IF(M39=0,0,IF(11=CARTÕES!$F39,CARTÕES!$E39-(CARTÕES!$F39-1)*ROUND(CARTÕES!$E39/CARTÕES!$F39,0),ROUND(CARTÕES!$E39/CARTÕES!$F39,0)))</f>
        <v/>
      </c>
      <c r="AX39" s="57">
        <f>IF(N39=0,0,IF(12=CARTÕES!$F39,CARTÕES!$E39-(CARTÕES!$F39-1)*ROUND(CARTÕES!$E39/CARTÕES!$F39,0),ROUND(CARTÕES!$E39/CARTÕES!$F39,0)))</f>
        <v/>
      </c>
      <c r="AY39" s="57">
        <f>IF(O39=0,0,IF(13=CARTÕES!$F39,CARTÕES!$E39-(CARTÕES!$F39-1)*ROUND(CARTÕES!$E39/CARTÕES!$F39,0),ROUND(CARTÕES!$E39/CARTÕES!$F39,0)))</f>
        <v/>
      </c>
      <c r="AZ39" s="57">
        <f>IF(P39=0,0,IF(14=CARTÕES!$F39,CARTÕES!$E39-(CARTÕES!$F39-1)*ROUND(CARTÕES!$E39/CARTÕES!$F39,0),ROUND(CARTÕES!$E39/CARTÕES!$F39,0)))</f>
        <v/>
      </c>
      <c r="BA39" s="57">
        <f>IF(Q39=0,0,IF(15=CARTÕES!$F39,CARTÕES!$E39-(CARTÕES!$F39-1)*ROUND(CARTÕES!$E39/CARTÕES!$F39,0),ROUND(CARTÕES!$E39/CARTÕES!$F39,0)))</f>
        <v/>
      </c>
      <c r="BB39" s="57">
        <f>IF(R39=0,0,IF(16=CARTÕES!$F39,CARTÕES!$E39-(CARTÕES!$F39-1)*ROUND(CARTÕES!$E39/CARTÕES!$F39,0),ROUND(CARTÕES!$E39/CARTÕES!$F39,0)))</f>
        <v/>
      </c>
      <c r="BC39" s="57">
        <f>IF(S39=0,0,IF(17=CARTÕES!$F39,CARTÕES!$E39-(CARTÕES!$F39-1)*ROUND(CARTÕES!$E39/CARTÕES!$F39,0),ROUND(CARTÕES!$E39/CARTÕES!$F39,0)))</f>
        <v/>
      </c>
      <c r="BD39" s="57">
        <f>IF(T39=0,0,IF(18=CARTÕES!$F39,CARTÕES!$E39-(CARTÕES!$F39-1)*ROUND(CARTÕES!$E39/CARTÕES!$F39,0),ROUND(CARTÕES!$E39/CARTÕES!$F39,0)))</f>
        <v/>
      </c>
      <c r="BE39" s="57">
        <f>IF(U39=0,0,IF(19=CARTÕES!$F39,CARTÕES!$E39-(CARTÕES!$F39-1)*ROUND(CARTÕES!$E39/CARTÕES!$F39,0),ROUND(CARTÕES!$E39/CARTÕES!$F39,0)))</f>
        <v/>
      </c>
      <c r="BF39" s="57">
        <f>IF(V39=0,0,IF(20=CARTÕES!$F39,CARTÕES!$E39-(CARTÕES!$F39-1)*ROUND(CARTÕES!$E39/CARTÕES!$F39,0),ROUND(CARTÕES!$E39/CARTÕES!$F39,0)))</f>
        <v/>
      </c>
      <c r="BG39" s="57">
        <f>IF(W39=0,0,IF(21=CARTÕES!$F39,CARTÕES!$E39-(CARTÕES!$F39-1)*ROUND(CARTÕES!$E39/CARTÕES!$F39,0),ROUND(CARTÕES!$E39/CARTÕES!$F39,0)))</f>
        <v/>
      </c>
      <c r="BH39" s="57">
        <f>IF(X39=0,0,IF(22=CARTÕES!$F39,CARTÕES!$E39-(CARTÕES!$F39-1)*ROUND(CARTÕES!$E39/CARTÕES!$F39,0),ROUND(CARTÕES!$E39/CARTÕES!$F39,0)))</f>
        <v/>
      </c>
      <c r="BI39" s="57">
        <f>IF(Y39=0,0,IF(23=CARTÕES!$F39,CARTÕES!$E39-(CARTÕES!$F39-1)*ROUND(CARTÕES!$E39/CARTÕES!$F39,0),ROUND(CARTÕES!$E39/CARTÕES!$F39,0)))</f>
        <v/>
      </c>
      <c r="BJ39" s="57">
        <f>IF(Z39=0,0,IF(24=CARTÕES!$F39,CARTÕES!$E39-(CARTÕES!$F39-1)*ROUND(CARTÕES!$E39/CARTÕES!$F39,0),ROUND(CARTÕES!$E39/CARTÕES!$F39,0)))</f>
        <v/>
      </c>
      <c r="BK39" s="57">
        <f>IF(AA39=0,0,IF(25=CARTÕES!$F39,CARTÕES!$E39-(CARTÕES!$F39-1)*ROUND(CARTÕES!$E39/CARTÕES!$F39,0),ROUND(CARTÕES!$E39/CARTÕES!$F39,0)))</f>
        <v/>
      </c>
      <c r="BL39" s="57">
        <f>IF(AB39=0,0,IF(26=CARTÕES!$F39,CARTÕES!$E39-(CARTÕES!$F39-1)*ROUND(CARTÕES!$E39/CARTÕES!$F39,0),ROUND(CARTÕES!$E39/CARTÕES!$F39,0)))</f>
        <v/>
      </c>
      <c r="BM39" s="57">
        <f>IF(AC39=0,0,IF(27=CARTÕES!$F39,CARTÕES!$E39-(CARTÕES!$F39-1)*ROUND(CARTÕES!$E39/CARTÕES!$F39,0),ROUND(CARTÕES!$E39/CARTÕES!$F39,0)))</f>
        <v/>
      </c>
      <c r="BN39" s="57">
        <f>IF(AD39=0,0,IF(28=CARTÕES!$F39,CARTÕES!$E39-(CARTÕES!$F39-1)*ROUND(CARTÕES!$E39/CARTÕES!$F39,0),ROUND(CARTÕES!$E39/CARTÕES!$F39,0)))</f>
        <v/>
      </c>
      <c r="BO39" s="57">
        <f>IF(AE39=0,0,IF(29=CARTÕES!$F39,CARTÕES!$E39-(CARTÕES!$F39-1)*ROUND(CARTÕES!$E39/CARTÕES!$F39,0),ROUND(CARTÕES!$E39/CARTÕES!$F39,0)))</f>
        <v/>
      </c>
      <c r="BP39" s="57">
        <f>IF(AF39=0,0,IF(30=CARTÕES!$F39,CARTÕES!$E39-(CARTÕES!$F39-1)*ROUND(CARTÕES!$E39/CARTÕES!$F39,0),ROUND(CARTÕES!$E39/CARTÕES!$F39,0)))</f>
        <v/>
      </c>
      <c r="BQ39" s="57">
        <f>IF(AG39=0,0,IF(31=CARTÕES!$F39,CARTÕES!$E39-(CARTÕES!$F39-1)*ROUND(CARTÕES!$E39/CARTÕES!$F39,0),ROUND(CARTÕES!$E39/CARTÕES!$F39,0)))</f>
        <v/>
      </c>
      <c r="BR39" s="57">
        <f>IF(AH39=0,0,IF(32=CARTÕES!$F39,CARTÕES!$E39-(CARTÕES!$F39-1)*ROUND(CARTÕES!$E39/CARTÕES!$F39,0),ROUND(CARTÕES!$E39/CARTÕES!$F39,0)))</f>
        <v/>
      </c>
      <c r="BS39" s="57">
        <f>IF(AI39=0,0,IF(33=CARTÕES!$F39,CARTÕES!$E39-(CARTÕES!$F39-1)*ROUND(CARTÕES!$E39/CARTÕES!$F39,0),ROUND(CARTÕES!$E39/CARTÕES!$F39,0)))</f>
        <v/>
      </c>
      <c r="BT39" s="57">
        <f>IF(AJ39=0,0,IF(34=CARTÕES!$F39,CARTÕES!$E39-(CARTÕES!$F39-1)*ROUND(CARTÕES!$E39/CARTÕES!$F39,0),ROUND(CARTÕES!$E39/CARTÕES!$F39,0)))</f>
        <v/>
      </c>
      <c r="BU39" s="57">
        <f>IF(AK39=0,0,IF(35=CARTÕES!$F39,CARTÕES!$E39-(CARTÕES!$F39-1)*ROUND(CARTÕES!$E39/CARTÕES!$F39,0),ROUND(CARTÕES!$E39/CARTÕES!$F39,0)))</f>
        <v/>
      </c>
      <c r="BV39" s="57">
        <f>IF(AL39=0,0,IF(36=CARTÕES!$F39,CARTÕES!$E39-(CARTÕES!$F39-1)*ROUND(CARTÕES!$E39/CARTÕES!$F39,0),ROUND(CARTÕES!$E39/CARTÕES!$F39,0)))</f>
        <v/>
      </c>
    </row>
    <row r="40">
      <c r="A40" s="55">
        <f>IF(CARTÕES!$C40="","",CARTÕES!$C40)</f>
        <v/>
      </c>
      <c r="B40" s="56">
        <f>SUMPRODUCT((C40:AL40='RESUMO MENSAL'!$C$4)*AM40:BV40)</f>
        <v/>
      </c>
      <c r="C40" s="57">
        <f>IF(OR(CARTÕES!$K40=0,CARTÕES!$F40=""),0,IF(1&gt;CARTÕES!$F40,0,CARTÕES!$K40+1-1))</f>
        <v/>
      </c>
      <c r="D40" s="57">
        <f>IF(OR(CARTÕES!$K40=0,CARTÕES!$F40=""),0,IF(2&gt;CARTÕES!$F40,0,CARTÕES!$K40+2-1))</f>
        <v/>
      </c>
      <c r="E40" s="57">
        <f>IF(OR(CARTÕES!$K40=0,CARTÕES!$F40=""),0,IF(3&gt;CARTÕES!$F40,0,CARTÕES!$K40+3-1))</f>
        <v/>
      </c>
      <c r="F40" s="57">
        <f>IF(OR(CARTÕES!$K40=0,CARTÕES!$F40=""),0,IF(4&gt;CARTÕES!$F40,0,CARTÕES!$K40+4-1))</f>
        <v/>
      </c>
      <c r="G40" s="57">
        <f>IF(OR(CARTÕES!$K40=0,CARTÕES!$F40=""),0,IF(5&gt;CARTÕES!$F40,0,CARTÕES!$K40+5-1))</f>
        <v/>
      </c>
      <c r="H40" s="57">
        <f>IF(OR(CARTÕES!$K40=0,CARTÕES!$F40=""),0,IF(6&gt;CARTÕES!$F40,0,CARTÕES!$K40+6-1))</f>
        <v/>
      </c>
      <c r="I40" s="57">
        <f>IF(OR(CARTÕES!$K40=0,CARTÕES!$F40=""),0,IF(7&gt;CARTÕES!$F40,0,CARTÕES!$K40+7-1))</f>
        <v/>
      </c>
      <c r="J40" s="57">
        <f>IF(OR(CARTÕES!$K40=0,CARTÕES!$F40=""),0,IF(8&gt;CARTÕES!$F40,0,CARTÕES!$K40+8-1))</f>
        <v/>
      </c>
      <c r="K40" s="57">
        <f>IF(OR(CARTÕES!$K40=0,CARTÕES!$F40=""),0,IF(9&gt;CARTÕES!$F40,0,CARTÕES!$K40+9-1))</f>
        <v/>
      </c>
      <c r="L40" s="57">
        <f>IF(OR(CARTÕES!$K40=0,CARTÕES!$F40=""),0,IF(10&gt;CARTÕES!$F40,0,CARTÕES!$K40+10-1))</f>
        <v/>
      </c>
      <c r="M40" s="57">
        <f>IF(OR(CARTÕES!$K40=0,CARTÕES!$F40=""),0,IF(11&gt;CARTÕES!$F40,0,CARTÕES!$K40+11-1))</f>
        <v/>
      </c>
      <c r="N40" s="57">
        <f>IF(OR(CARTÕES!$K40=0,CARTÕES!$F40=""),0,IF(12&gt;CARTÕES!$F40,0,CARTÕES!$K40+12-1))</f>
        <v/>
      </c>
      <c r="O40" s="57">
        <f>IF(OR(CARTÕES!$K40=0,CARTÕES!$F40=""),0,IF(13&gt;CARTÕES!$F40,0,CARTÕES!$K40+13-1))</f>
        <v/>
      </c>
      <c r="P40" s="57">
        <f>IF(OR(CARTÕES!$K40=0,CARTÕES!$F40=""),0,IF(14&gt;CARTÕES!$F40,0,CARTÕES!$K40+14-1))</f>
        <v/>
      </c>
      <c r="Q40" s="57">
        <f>IF(OR(CARTÕES!$K40=0,CARTÕES!$F40=""),0,IF(15&gt;CARTÕES!$F40,0,CARTÕES!$K40+15-1))</f>
        <v/>
      </c>
      <c r="R40" s="57">
        <f>IF(OR(CARTÕES!$K40=0,CARTÕES!$F40=""),0,IF(16&gt;CARTÕES!$F40,0,CARTÕES!$K40+16-1))</f>
        <v/>
      </c>
      <c r="S40" s="57">
        <f>IF(OR(CARTÕES!$K40=0,CARTÕES!$F40=""),0,IF(17&gt;CARTÕES!$F40,0,CARTÕES!$K40+17-1))</f>
        <v/>
      </c>
      <c r="T40" s="57">
        <f>IF(OR(CARTÕES!$K40=0,CARTÕES!$F40=""),0,IF(18&gt;CARTÕES!$F40,0,CARTÕES!$K40+18-1))</f>
        <v/>
      </c>
      <c r="U40" s="57">
        <f>IF(OR(CARTÕES!$K40=0,CARTÕES!$F40=""),0,IF(19&gt;CARTÕES!$F40,0,CARTÕES!$K40+19-1))</f>
        <v/>
      </c>
      <c r="V40" s="57">
        <f>IF(OR(CARTÕES!$K40=0,CARTÕES!$F40=""),0,IF(20&gt;CARTÕES!$F40,0,CARTÕES!$K40+20-1))</f>
        <v/>
      </c>
      <c r="W40" s="57">
        <f>IF(OR(CARTÕES!$K40=0,CARTÕES!$F40=""),0,IF(21&gt;CARTÕES!$F40,0,CARTÕES!$K40+21-1))</f>
        <v/>
      </c>
      <c r="X40" s="57">
        <f>IF(OR(CARTÕES!$K40=0,CARTÕES!$F40=""),0,IF(22&gt;CARTÕES!$F40,0,CARTÕES!$K40+22-1))</f>
        <v/>
      </c>
      <c r="Y40" s="57">
        <f>IF(OR(CARTÕES!$K40=0,CARTÕES!$F40=""),0,IF(23&gt;CARTÕES!$F40,0,CARTÕES!$K40+23-1))</f>
        <v/>
      </c>
      <c r="Z40" s="57">
        <f>IF(OR(CARTÕES!$K40=0,CARTÕES!$F40=""),0,IF(24&gt;CARTÕES!$F40,0,CARTÕES!$K40+24-1))</f>
        <v/>
      </c>
      <c r="AA40" s="57">
        <f>IF(OR(CARTÕES!$K40=0,CARTÕES!$F40=""),0,IF(25&gt;CARTÕES!$F40,0,CARTÕES!$K40+25-1))</f>
        <v/>
      </c>
      <c r="AB40" s="57">
        <f>IF(OR(CARTÕES!$K40=0,CARTÕES!$F40=""),0,IF(26&gt;CARTÕES!$F40,0,CARTÕES!$K40+26-1))</f>
        <v/>
      </c>
      <c r="AC40" s="57">
        <f>IF(OR(CARTÕES!$K40=0,CARTÕES!$F40=""),0,IF(27&gt;CARTÕES!$F40,0,CARTÕES!$K40+27-1))</f>
        <v/>
      </c>
      <c r="AD40" s="57">
        <f>IF(OR(CARTÕES!$K40=0,CARTÕES!$F40=""),0,IF(28&gt;CARTÕES!$F40,0,CARTÕES!$K40+28-1))</f>
        <v/>
      </c>
      <c r="AE40" s="57">
        <f>IF(OR(CARTÕES!$K40=0,CARTÕES!$F40=""),0,IF(29&gt;CARTÕES!$F40,0,CARTÕES!$K40+29-1))</f>
        <v/>
      </c>
      <c r="AF40" s="57">
        <f>IF(OR(CARTÕES!$K40=0,CARTÕES!$F40=""),0,IF(30&gt;CARTÕES!$F40,0,CARTÕES!$K40+30-1))</f>
        <v/>
      </c>
      <c r="AG40" s="57">
        <f>IF(OR(CARTÕES!$K40=0,CARTÕES!$F40=""),0,IF(31&gt;CARTÕES!$F40,0,CARTÕES!$K40+31-1))</f>
        <v/>
      </c>
      <c r="AH40" s="57">
        <f>IF(OR(CARTÕES!$K40=0,CARTÕES!$F40=""),0,IF(32&gt;CARTÕES!$F40,0,CARTÕES!$K40+32-1))</f>
        <v/>
      </c>
      <c r="AI40" s="57">
        <f>IF(OR(CARTÕES!$K40=0,CARTÕES!$F40=""),0,IF(33&gt;CARTÕES!$F40,0,CARTÕES!$K40+33-1))</f>
        <v/>
      </c>
      <c r="AJ40" s="57">
        <f>IF(OR(CARTÕES!$K40=0,CARTÕES!$F40=""),0,IF(34&gt;CARTÕES!$F40,0,CARTÕES!$K40+34-1))</f>
        <v/>
      </c>
      <c r="AK40" s="57">
        <f>IF(OR(CARTÕES!$K40=0,CARTÕES!$F40=""),0,IF(35&gt;CARTÕES!$F40,0,CARTÕES!$K40+35-1))</f>
        <v/>
      </c>
      <c r="AL40" s="57">
        <f>IF(OR(CARTÕES!$K40=0,CARTÕES!$F40=""),0,IF(36&gt;CARTÕES!$F40,0,CARTÕES!$K40+36-1))</f>
        <v/>
      </c>
      <c r="AM40" s="57">
        <f>IF(C40=0,0,IF(1=CARTÕES!$F40,CARTÕES!$E40-(CARTÕES!$F40-1)*ROUND(CARTÕES!$E40/CARTÕES!$F40,0),ROUND(CARTÕES!$E40/CARTÕES!$F40,0)))</f>
        <v/>
      </c>
      <c r="AN40" s="57">
        <f>IF(D40=0,0,IF(2=CARTÕES!$F40,CARTÕES!$E40-(CARTÕES!$F40-1)*ROUND(CARTÕES!$E40/CARTÕES!$F40,0),ROUND(CARTÕES!$E40/CARTÕES!$F40,0)))</f>
        <v/>
      </c>
      <c r="AO40" s="57">
        <f>IF(E40=0,0,IF(3=CARTÕES!$F40,CARTÕES!$E40-(CARTÕES!$F40-1)*ROUND(CARTÕES!$E40/CARTÕES!$F40,0),ROUND(CARTÕES!$E40/CARTÕES!$F40,0)))</f>
        <v/>
      </c>
      <c r="AP40" s="57">
        <f>IF(F40=0,0,IF(4=CARTÕES!$F40,CARTÕES!$E40-(CARTÕES!$F40-1)*ROUND(CARTÕES!$E40/CARTÕES!$F40,0),ROUND(CARTÕES!$E40/CARTÕES!$F40,0)))</f>
        <v/>
      </c>
      <c r="AQ40" s="57">
        <f>IF(G40=0,0,IF(5=CARTÕES!$F40,CARTÕES!$E40-(CARTÕES!$F40-1)*ROUND(CARTÕES!$E40/CARTÕES!$F40,0),ROUND(CARTÕES!$E40/CARTÕES!$F40,0)))</f>
        <v/>
      </c>
      <c r="AR40" s="57">
        <f>IF(H40=0,0,IF(6=CARTÕES!$F40,CARTÕES!$E40-(CARTÕES!$F40-1)*ROUND(CARTÕES!$E40/CARTÕES!$F40,0),ROUND(CARTÕES!$E40/CARTÕES!$F40,0)))</f>
        <v/>
      </c>
      <c r="AS40" s="57">
        <f>IF(I40=0,0,IF(7=CARTÕES!$F40,CARTÕES!$E40-(CARTÕES!$F40-1)*ROUND(CARTÕES!$E40/CARTÕES!$F40,0),ROUND(CARTÕES!$E40/CARTÕES!$F40,0)))</f>
        <v/>
      </c>
      <c r="AT40" s="57">
        <f>IF(J40=0,0,IF(8=CARTÕES!$F40,CARTÕES!$E40-(CARTÕES!$F40-1)*ROUND(CARTÕES!$E40/CARTÕES!$F40,0),ROUND(CARTÕES!$E40/CARTÕES!$F40,0)))</f>
        <v/>
      </c>
      <c r="AU40" s="57">
        <f>IF(K40=0,0,IF(9=CARTÕES!$F40,CARTÕES!$E40-(CARTÕES!$F40-1)*ROUND(CARTÕES!$E40/CARTÕES!$F40,0),ROUND(CARTÕES!$E40/CARTÕES!$F40,0)))</f>
        <v/>
      </c>
      <c r="AV40" s="57">
        <f>IF(L40=0,0,IF(10=CARTÕES!$F40,CARTÕES!$E40-(CARTÕES!$F40-1)*ROUND(CARTÕES!$E40/CARTÕES!$F40,0),ROUND(CARTÕES!$E40/CARTÕES!$F40,0)))</f>
        <v/>
      </c>
      <c r="AW40" s="57">
        <f>IF(M40=0,0,IF(11=CARTÕES!$F40,CARTÕES!$E40-(CARTÕES!$F40-1)*ROUND(CARTÕES!$E40/CARTÕES!$F40,0),ROUND(CARTÕES!$E40/CARTÕES!$F40,0)))</f>
        <v/>
      </c>
      <c r="AX40" s="57">
        <f>IF(N40=0,0,IF(12=CARTÕES!$F40,CARTÕES!$E40-(CARTÕES!$F40-1)*ROUND(CARTÕES!$E40/CARTÕES!$F40,0),ROUND(CARTÕES!$E40/CARTÕES!$F40,0)))</f>
        <v/>
      </c>
      <c r="AY40" s="57">
        <f>IF(O40=0,0,IF(13=CARTÕES!$F40,CARTÕES!$E40-(CARTÕES!$F40-1)*ROUND(CARTÕES!$E40/CARTÕES!$F40,0),ROUND(CARTÕES!$E40/CARTÕES!$F40,0)))</f>
        <v/>
      </c>
      <c r="AZ40" s="57">
        <f>IF(P40=0,0,IF(14=CARTÕES!$F40,CARTÕES!$E40-(CARTÕES!$F40-1)*ROUND(CARTÕES!$E40/CARTÕES!$F40,0),ROUND(CARTÕES!$E40/CARTÕES!$F40,0)))</f>
        <v/>
      </c>
      <c r="BA40" s="57">
        <f>IF(Q40=0,0,IF(15=CARTÕES!$F40,CARTÕES!$E40-(CARTÕES!$F40-1)*ROUND(CARTÕES!$E40/CARTÕES!$F40,0),ROUND(CARTÕES!$E40/CARTÕES!$F40,0)))</f>
        <v/>
      </c>
      <c r="BB40" s="57">
        <f>IF(R40=0,0,IF(16=CARTÕES!$F40,CARTÕES!$E40-(CARTÕES!$F40-1)*ROUND(CARTÕES!$E40/CARTÕES!$F40,0),ROUND(CARTÕES!$E40/CARTÕES!$F40,0)))</f>
        <v/>
      </c>
      <c r="BC40" s="57">
        <f>IF(S40=0,0,IF(17=CARTÕES!$F40,CARTÕES!$E40-(CARTÕES!$F40-1)*ROUND(CARTÕES!$E40/CARTÕES!$F40,0),ROUND(CARTÕES!$E40/CARTÕES!$F40,0)))</f>
        <v/>
      </c>
      <c r="BD40" s="57">
        <f>IF(T40=0,0,IF(18=CARTÕES!$F40,CARTÕES!$E40-(CARTÕES!$F40-1)*ROUND(CARTÕES!$E40/CARTÕES!$F40,0),ROUND(CARTÕES!$E40/CARTÕES!$F40,0)))</f>
        <v/>
      </c>
      <c r="BE40" s="57">
        <f>IF(U40=0,0,IF(19=CARTÕES!$F40,CARTÕES!$E40-(CARTÕES!$F40-1)*ROUND(CARTÕES!$E40/CARTÕES!$F40,0),ROUND(CARTÕES!$E40/CARTÕES!$F40,0)))</f>
        <v/>
      </c>
      <c r="BF40" s="57">
        <f>IF(V40=0,0,IF(20=CARTÕES!$F40,CARTÕES!$E40-(CARTÕES!$F40-1)*ROUND(CARTÕES!$E40/CARTÕES!$F40,0),ROUND(CARTÕES!$E40/CARTÕES!$F40,0)))</f>
        <v/>
      </c>
      <c r="BG40" s="57">
        <f>IF(W40=0,0,IF(21=CARTÕES!$F40,CARTÕES!$E40-(CARTÕES!$F40-1)*ROUND(CARTÕES!$E40/CARTÕES!$F40,0),ROUND(CARTÕES!$E40/CARTÕES!$F40,0)))</f>
        <v/>
      </c>
      <c r="BH40" s="57">
        <f>IF(X40=0,0,IF(22=CARTÕES!$F40,CARTÕES!$E40-(CARTÕES!$F40-1)*ROUND(CARTÕES!$E40/CARTÕES!$F40,0),ROUND(CARTÕES!$E40/CARTÕES!$F40,0)))</f>
        <v/>
      </c>
      <c r="BI40" s="57">
        <f>IF(Y40=0,0,IF(23=CARTÕES!$F40,CARTÕES!$E40-(CARTÕES!$F40-1)*ROUND(CARTÕES!$E40/CARTÕES!$F40,0),ROUND(CARTÕES!$E40/CARTÕES!$F40,0)))</f>
        <v/>
      </c>
      <c r="BJ40" s="57">
        <f>IF(Z40=0,0,IF(24=CARTÕES!$F40,CARTÕES!$E40-(CARTÕES!$F40-1)*ROUND(CARTÕES!$E40/CARTÕES!$F40,0),ROUND(CARTÕES!$E40/CARTÕES!$F40,0)))</f>
        <v/>
      </c>
      <c r="BK40" s="57">
        <f>IF(AA40=0,0,IF(25=CARTÕES!$F40,CARTÕES!$E40-(CARTÕES!$F40-1)*ROUND(CARTÕES!$E40/CARTÕES!$F40,0),ROUND(CARTÕES!$E40/CARTÕES!$F40,0)))</f>
        <v/>
      </c>
      <c r="BL40" s="57">
        <f>IF(AB40=0,0,IF(26=CARTÕES!$F40,CARTÕES!$E40-(CARTÕES!$F40-1)*ROUND(CARTÕES!$E40/CARTÕES!$F40,0),ROUND(CARTÕES!$E40/CARTÕES!$F40,0)))</f>
        <v/>
      </c>
      <c r="BM40" s="57">
        <f>IF(AC40=0,0,IF(27=CARTÕES!$F40,CARTÕES!$E40-(CARTÕES!$F40-1)*ROUND(CARTÕES!$E40/CARTÕES!$F40,0),ROUND(CARTÕES!$E40/CARTÕES!$F40,0)))</f>
        <v/>
      </c>
      <c r="BN40" s="57">
        <f>IF(AD40=0,0,IF(28=CARTÕES!$F40,CARTÕES!$E40-(CARTÕES!$F40-1)*ROUND(CARTÕES!$E40/CARTÕES!$F40,0),ROUND(CARTÕES!$E40/CARTÕES!$F40,0)))</f>
        <v/>
      </c>
      <c r="BO40" s="57">
        <f>IF(AE40=0,0,IF(29=CARTÕES!$F40,CARTÕES!$E40-(CARTÕES!$F40-1)*ROUND(CARTÕES!$E40/CARTÕES!$F40,0),ROUND(CARTÕES!$E40/CARTÕES!$F40,0)))</f>
        <v/>
      </c>
      <c r="BP40" s="57">
        <f>IF(AF40=0,0,IF(30=CARTÕES!$F40,CARTÕES!$E40-(CARTÕES!$F40-1)*ROUND(CARTÕES!$E40/CARTÕES!$F40,0),ROUND(CARTÕES!$E40/CARTÕES!$F40,0)))</f>
        <v/>
      </c>
      <c r="BQ40" s="57">
        <f>IF(AG40=0,0,IF(31=CARTÕES!$F40,CARTÕES!$E40-(CARTÕES!$F40-1)*ROUND(CARTÕES!$E40/CARTÕES!$F40,0),ROUND(CARTÕES!$E40/CARTÕES!$F40,0)))</f>
        <v/>
      </c>
      <c r="BR40" s="57">
        <f>IF(AH40=0,0,IF(32=CARTÕES!$F40,CARTÕES!$E40-(CARTÕES!$F40-1)*ROUND(CARTÕES!$E40/CARTÕES!$F40,0),ROUND(CARTÕES!$E40/CARTÕES!$F40,0)))</f>
        <v/>
      </c>
      <c r="BS40" s="57">
        <f>IF(AI40=0,0,IF(33=CARTÕES!$F40,CARTÕES!$E40-(CARTÕES!$F40-1)*ROUND(CARTÕES!$E40/CARTÕES!$F40,0),ROUND(CARTÕES!$E40/CARTÕES!$F40,0)))</f>
        <v/>
      </c>
      <c r="BT40" s="57">
        <f>IF(AJ40=0,0,IF(34=CARTÕES!$F40,CARTÕES!$E40-(CARTÕES!$F40-1)*ROUND(CARTÕES!$E40/CARTÕES!$F40,0),ROUND(CARTÕES!$E40/CARTÕES!$F40,0)))</f>
        <v/>
      </c>
      <c r="BU40" s="57">
        <f>IF(AK40=0,0,IF(35=CARTÕES!$F40,CARTÕES!$E40-(CARTÕES!$F40-1)*ROUND(CARTÕES!$E40/CARTÕES!$F40,0),ROUND(CARTÕES!$E40/CARTÕES!$F40,0)))</f>
        <v/>
      </c>
      <c r="BV40" s="57">
        <f>IF(AL40=0,0,IF(36=CARTÕES!$F40,CARTÕES!$E40-(CARTÕES!$F40-1)*ROUND(CARTÕES!$E40/CARTÕES!$F40,0),ROUND(CARTÕES!$E40/CARTÕES!$F40,0)))</f>
        <v/>
      </c>
    </row>
    <row r="41">
      <c r="A41" s="55">
        <f>IF(CARTÕES!$C41="","",CARTÕES!$C41)</f>
        <v/>
      </c>
      <c r="B41" s="56">
        <f>SUMPRODUCT((C41:AL41='RESUMO MENSAL'!$C$4)*AM41:BV41)</f>
        <v/>
      </c>
      <c r="C41" s="57">
        <f>IF(OR(CARTÕES!$K41=0,CARTÕES!$F41=""),0,IF(1&gt;CARTÕES!$F41,0,CARTÕES!$K41+1-1))</f>
        <v/>
      </c>
      <c r="D41" s="57">
        <f>IF(OR(CARTÕES!$K41=0,CARTÕES!$F41=""),0,IF(2&gt;CARTÕES!$F41,0,CARTÕES!$K41+2-1))</f>
        <v/>
      </c>
      <c r="E41" s="57">
        <f>IF(OR(CARTÕES!$K41=0,CARTÕES!$F41=""),0,IF(3&gt;CARTÕES!$F41,0,CARTÕES!$K41+3-1))</f>
        <v/>
      </c>
      <c r="F41" s="57">
        <f>IF(OR(CARTÕES!$K41=0,CARTÕES!$F41=""),0,IF(4&gt;CARTÕES!$F41,0,CARTÕES!$K41+4-1))</f>
        <v/>
      </c>
      <c r="G41" s="57">
        <f>IF(OR(CARTÕES!$K41=0,CARTÕES!$F41=""),0,IF(5&gt;CARTÕES!$F41,0,CARTÕES!$K41+5-1))</f>
        <v/>
      </c>
      <c r="H41" s="57">
        <f>IF(OR(CARTÕES!$K41=0,CARTÕES!$F41=""),0,IF(6&gt;CARTÕES!$F41,0,CARTÕES!$K41+6-1))</f>
        <v/>
      </c>
      <c r="I41" s="57">
        <f>IF(OR(CARTÕES!$K41=0,CARTÕES!$F41=""),0,IF(7&gt;CARTÕES!$F41,0,CARTÕES!$K41+7-1))</f>
        <v/>
      </c>
      <c r="J41" s="57">
        <f>IF(OR(CARTÕES!$K41=0,CARTÕES!$F41=""),0,IF(8&gt;CARTÕES!$F41,0,CARTÕES!$K41+8-1))</f>
        <v/>
      </c>
      <c r="K41" s="57">
        <f>IF(OR(CARTÕES!$K41=0,CARTÕES!$F41=""),0,IF(9&gt;CARTÕES!$F41,0,CARTÕES!$K41+9-1))</f>
        <v/>
      </c>
      <c r="L41" s="57">
        <f>IF(OR(CARTÕES!$K41=0,CARTÕES!$F41=""),0,IF(10&gt;CARTÕES!$F41,0,CARTÕES!$K41+10-1))</f>
        <v/>
      </c>
      <c r="M41" s="57">
        <f>IF(OR(CARTÕES!$K41=0,CARTÕES!$F41=""),0,IF(11&gt;CARTÕES!$F41,0,CARTÕES!$K41+11-1))</f>
        <v/>
      </c>
      <c r="N41" s="57">
        <f>IF(OR(CARTÕES!$K41=0,CARTÕES!$F41=""),0,IF(12&gt;CARTÕES!$F41,0,CARTÕES!$K41+12-1))</f>
        <v/>
      </c>
      <c r="O41" s="57">
        <f>IF(OR(CARTÕES!$K41=0,CARTÕES!$F41=""),0,IF(13&gt;CARTÕES!$F41,0,CARTÕES!$K41+13-1))</f>
        <v/>
      </c>
      <c r="P41" s="57">
        <f>IF(OR(CARTÕES!$K41=0,CARTÕES!$F41=""),0,IF(14&gt;CARTÕES!$F41,0,CARTÕES!$K41+14-1))</f>
        <v/>
      </c>
      <c r="Q41" s="57">
        <f>IF(OR(CARTÕES!$K41=0,CARTÕES!$F41=""),0,IF(15&gt;CARTÕES!$F41,0,CARTÕES!$K41+15-1))</f>
        <v/>
      </c>
      <c r="R41" s="57">
        <f>IF(OR(CARTÕES!$K41=0,CARTÕES!$F41=""),0,IF(16&gt;CARTÕES!$F41,0,CARTÕES!$K41+16-1))</f>
        <v/>
      </c>
      <c r="S41" s="57">
        <f>IF(OR(CARTÕES!$K41=0,CARTÕES!$F41=""),0,IF(17&gt;CARTÕES!$F41,0,CARTÕES!$K41+17-1))</f>
        <v/>
      </c>
      <c r="T41" s="57">
        <f>IF(OR(CARTÕES!$K41=0,CARTÕES!$F41=""),0,IF(18&gt;CARTÕES!$F41,0,CARTÕES!$K41+18-1))</f>
        <v/>
      </c>
      <c r="U41" s="57">
        <f>IF(OR(CARTÕES!$K41=0,CARTÕES!$F41=""),0,IF(19&gt;CARTÕES!$F41,0,CARTÕES!$K41+19-1))</f>
        <v/>
      </c>
      <c r="V41" s="57">
        <f>IF(OR(CARTÕES!$K41=0,CARTÕES!$F41=""),0,IF(20&gt;CARTÕES!$F41,0,CARTÕES!$K41+20-1))</f>
        <v/>
      </c>
      <c r="W41" s="57">
        <f>IF(OR(CARTÕES!$K41=0,CARTÕES!$F41=""),0,IF(21&gt;CARTÕES!$F41,0,CARTÕES!$K41+21-1))</f>
        <v/>
      </c>
      <c r="X41" s="57">
        <f>IF(OR(CARTÕES!$K41=0,CARTÕES!$F41=""),0,IF(22&gt;CARTÕES!$F41,0,CARTÕES!$K41+22-1))</f>
        <v/>
      </c>
      <c r="Y41" s="57">
        <f>IF(OR(CARTÕES!$K41=0,CARTÕES!$F41=""),0,IF(23&gt;CARTÕES!$F41,0,CARTÕES!$K41+23-1))</f>
        <v/>
      </c>
      <c r="Z41" s="57">
        <f>IF(OR(CARTÕES!$K41=0,CARTÕES!$F41=""),0,IF(24&gt;CARTÕES!$F41,0,CARTÕES!$K41+24-1))</f>
        <v/>
      </c>
      <c r="AA41" s="57">
        <f>IF(OR(CARTÕES!$K41=0,CARTÕES!$F41=""),0,IF(25&gt;CARTÕES!$F41,0,CARTÕES!$K41+25-1))</f>
        <v/>
      </c>
      <c r="AB41" s="57">
        <f>IF(OR(CARTÕES!$K41=0,CARTÕES!$F41=""),0,IF(26&gt;CARTÕES!$F41,0,CARTÕES!$K41+26-1))</f>
        <v/>
      </c>
      <c r="AC41" s="57">
        <f>IF(OR(CARTÕES!$K41=0,CARTÕES!$F41=""),0,IF(27&gt;CARTÕES!$F41,0,CARTÕES!$K41+27-1))</f>
        <v/>
      </c>
      <c r="AD41" s="57">
        <f>IF(OR(CARTÕES!$K41=0,CARTÕES!$F41=""),0,IF(28&gt;CARTÕES!$F41,0,CARTÕES!$K41+28-1))</f>
        <v/>
      </c>
      <c r="AE41" s="57">
        <f>IF(OR(CARTÕES!$K41=0,CARTÕES!$F41=""),0,IF(29&gt;CARTÕES!$F41,0,CARTÕES!$K41+29-1))</f>
        <v/>
      </c>
      <c r="AF41" s="57">
        <f>IF(OR(CARTÕES!$K41=0,CARTÕES!$F41=""),0,IF(30&gt;CARTÕES!$F41,0,CARTÕES!$K41+30-1))</f>
        <v/>
      </c>
      <c r="AG41" s="57">
        <f>IF(OR(CARTÕES!$K41=0,CARTÕES!$F41=""),0,IF(31&gt;CARTÕES!$F41,0,CARTÕES!$K41+31-1))</f>
        <v/>
      </c>
      <c r="AH41" s="57">
        <f>IF(OR(CARTÕES!$K41=0,CARTÕES!$F41=""),0,IF(32&gt;CARTÕES!$F41,0,CARTÕES!$K41+32-1))</f>
        <v/>
      </c>
      <c r="AI41" s="57">
        <f>IF(OR(CARTÕES!$K41=0,CARTÕES!$F41=""),0,IF(33&gt;CARTÕES!$F41,0,CARTÕES!$K41+33-1))</f>
        <v/>
      </c>
      <c r="AJ41" s="57">
        <f>IF(OR(CARTÕES!$K41=0,CARTÕES!$F41=""),0,IF(34&gt;CARTÕES!$F41,0,CARTÕES!$K41+34-1))</f>
        <v/>
      </c>
      <c r="AK41" s="57">
        <f>IF(OR(CARTÕES!$K41=0,CARTÕES!$F41=""),0,IF(35&gt;CARTÕES!$F41,0,CARTÕES!$K41+35-1))</f>
        <v/>
      </c>
      <c r="AL41" s="57">
        <f>IF(OR(CARTÕES!$K41=0,CARTÕES!$F41=""),0,IF(36&gt;CARTÕES!$F41,0,CARTÕES!$K41+36-1))</f>
        <v/>
      </c>
      <c r="AM41" s="57">
        <f>IF(C41=0,0,IF(1=CARTÕES!$F41,CARTÕES!$E41-(CARTÕES!$F41-1)*ROUND(CARTÕES!$E41/CARTÕES!$F41,0),ROUND(CARTÕES!$E41/CARTÕES!$F41,0)))</f>
        <v/>
      </c>
      <c r="AN41" s="57">
        <f>IF(D41=0,0,IF(2=CARTÕES!$F41,CARTÕES!$E41-(CARTÕES!$F41-1)*ROUND(CARTÕES!$E41/CARTÕES!$F41,0),ROUND(CARTÕES!$E41/CARTÕES!$F41,0)))</f>
        <v/>
      </c>
      <c r="AO41" s="57">
        <f>IF(E41=0,0,IF(3=CARTÕES!$F41,CARTÕES!$E41-(CARTÕES!$F41-1)*ROUND(CARTÕES!$E41/CARTÕES!$F41,0),ROUND(CARTÕES!$E41/CARTÕES!$F41,0)))</f>
        <v/>
      </c>
      <c r="AP41" s="57">
        <f>IF(F41=0,0,IF(4=CARTÕES!$F41,CARTÕES!$E41-(CARTÕES!$F41-1)*ROUND(CARTÕES!$E41/CARTÕES!$F41,0),ROUND(CARTÕES!$E41/CARTÕES!$F41,0)))</f>
        <v/>
      </c>
      <c r="AQ41" s="57">
        <f>IF(G41=0,0,IF(5=CARTÕES!$F41,CARTÕES!$E41-(CARTÕES!$F41-1)*ROUND(CARTÕES!$E41/CARTÕES!$F41,0),ROUND(CARTÕES!$E41/CARTÕES!$F41,0)))</f>
        <v/>
      </c>
      <c r="AR41" s="57">
        <f>IF(H41=0,0,IF(6=CARTÕES!$F41,CARTÕES!$E41-(CARTÕES!$F41-1)*ROUND(CARTÕES!$E41/CARTÕES!$F41,0),ROUND(CARTÕES!$E41/CARTÕES!$F41,0)))</f>
        <v/>
      </c>
      <c r="AS41" s="57">
        <f>IF(I41=0,0,IF(7=CARTÕES!$F41,CARTÕES!$E41-(CARTÕES!$F41-1)*ROUND(CARTÕES!$E41/CARTÕES!$F41,0),ROUND(CARTÕES!$E41/CARTÕES!$F41,0)))</f>
        <v/>
      </c>
      <c r="AT41" s="57">
        <f>IF(J41=0,0,IF(8=CARTÕES!$F41,CARTÕES!$E41-(CARTÕES!$F41-1)*ROUND(CARTÕES!$E41/CARTÕES!$F41,0),ROUND(CARTÕES!$E41/CARTÕES!$F41,0)))</f>
        <v/>
      </c>
      <c r="AU41" s="57">
        <f>IF(K41=0,0,IF(9=CARTÕES!$F41,CARTÕES!$E41-(CARTÕES!$F41-1)*ROUND(CARTÕES!$E41/CARTÕES!$F41,0),ROUND(CARTÕES!$E41/CARTÕES!$F41,0)))</f>
        <v/>
      </c>
      <c r="AV41" s="57">
        <f>IF(L41=0,0,IF(10=CARTÕES!$F41,CARTÕES!$E41-(CARTÕES!$F41-1)*ROUND(CARTÕES!$E41/CARTÕES!$F41,0),ROUND(CARTÕES!$E41/CARTÕES!$F41,0)))</f>
        <v/>
      </c>
      <c r="AW41" s="57">
        <f>IF(M41=0,0,IF(11=CARTÕES!$F41,CARTÕES!$E41-(CARTÕES!$F41-1)*ROUND(CARTÕES!$E41/CARTÕES!$F41,0),ROUND(CARTÕES!$E41/CARTÕES!$F41,0)))</f>
        <v/>
      </c>
      <c r="AX41" s="57">
        <f>IF(N41=0,0,IF(12=CARTÕES!$F41,CARTÕES!$E41-(CARTÕES!$F41-1)*ROUND(CARTÕES!$E41/CARTÕES!$F41,0),ROUND(CARTÕES!$E41/CARTÕES!$F41,0)))</f>
        <v/>
      </c>
      <c r="AY41" s="57">
        <f>IF(O41=0,0,IF(13=CARTÕES!$F41,CARTÕES!$E41-(CARTÕES!$F41-1)*ROUND(CARTÕES!$E41/CARTÕES!$F41,0),ROUND(CARTÕES!$E41/CARTÕES!$F41,0)))</f>
        <v/>
      </c>
      <c r="AZ41" s="57">
        <f>IF(P41=0,0,IF(14=CARTÕES!$F41,CARTÕES!$E41-(CARTÕES!$F41-1)*ROUND(CARTÕES!$E41/CARTÕES!$F41,0),ROUND(CARTÕES!$E41/CARTÕES!$F41,0)))</f>
        <v/>
      </c>
      <c r="BA41" s="57">
        <f>IF(Q41=0,0,IF(15=CARTÕES!$F41,CARTÕES!$E41-(CARTÕES!$F41-1)*ROUND(CARTÕES!$E41/CARTÕES!$F41,0),ROUND(CARTÕES!$E41/CARTÕES!$F41,0)))</f>
        <v/>
      </c>
      <c r="BB41" s="57">
        <f>IF(R41=0,0,IF(16=CARTÕES!$F41,CARTÕES!$E41-(CARTÕES!$F41-1)*ROUND(CARTÕES!$E41/CARTÕES!$F41,0),ROUND(CARTÕES!$E41/CARTÕES!$F41,0)))</f>
        <v/>
      </c>
      <c r="BC41" s="57">
        <f>IF(S41=0,0,IF(17=CARTÕES!$F41,CARTÕES!$E41-(CARTÕES!$F41-1)*ROUND(CARTÕES!$E41/CARTÕES!$F41,0),ROUND(CARTÕES!$E41/CARTÕES!$F41,0)))</f>
        <v/>
      </c>
      <c r="BD41" s="57">
        <f>IF(T41=0,0,IF(18=CARTÕES!$F41,CARTÕES!$E41-(CARTÕES!$F41-1)*ROUND(CARTÕES!$E41/CARTÕES!$F41,0),ROUND(CARTÕES!$E41/CARTÕES!$F41,0)))</f>
        <v/>
      </c>
      <c r="BE41" s="57">
        <f>IF(U41=0,0,IF(19=CARTÕES!$F41,CARTÕES!$E41-(CARTÕES!$F41-1)*ROUND(CARTÕES!$E41/CARTÕES!$F41,0),ROUND(CARTÕES!$E41/CARTÕES!$F41,0)))</f>
        <v/>
      </c>
      <c r="BF41" s="57">
        <f>IF(V41=0,0,IF(20=CARTÕES!$F41,CARTÕES!$E41-(CARTÕES!$F41-1)*ROUND(CARTÕES!$E41/CARTÕES!$F41,0),ROUND(CARTÕES!$E41/CARTÕES!$F41,0)))</f>
        <v/>
      </c>
      <c r="BG41" s="57">
        <f>IF(W41=0,0,IF(21=CARTÕES!$F41,CARTÕES!$E41-(CARTÕES!$F41-1)*ROUND(CARTÕES!$E41/CARTÕES!$F41,0),ROUND(CARTÕES!$E41/CARTÕES!$F41,0)))</f>
        <v/>
      </c>
      <c r="BH41" s="57">
        <f>IF(X41=0,0,IF(22=CARTÕES!$F41,CARTÕES!$E41-(CARTÕES!$F41-1)*ROUND(CARTÕES!$E41/CARTÕES!$F41,0),ROUND(CARTÕES!$E41/CARTÕES!$F41,0)))</f>
        <v/>
      </c>
      <c r="BI41" s="57">
        <f>IF(Y41=0,0,IF(23=CARTÕES!$F41,CARTÕES!$E41-(CARTÕES!$F41-1)*ROUND(CARTÕES!$E41/CARTÕES!$F41,0),ROUND(CARTÕES!$E41/CARTÕES!$F41,0)))</f>
        <v/>
      </c>
      <c r="BJ41" s="57">
        <f>IF(Z41=0,0,IF(24=CARTÕES!$F41,CARTÕES!$E41-(CARTÕES!$F41-1)*ROUND(CARTÕES!$E41/CARTÕES!$F41,0),ROUND(CARTÕES!$E41/CARTÕES!$F41,0)))</f>
        <v/>
      </c>
      <c r="BK41" s="57">
        <f>IF(AA41=0,0,IF(25=CARTÕES!$F41,CARTÕES!$E41-(CARTÕES!$F41-1)*ROUND(CARTÕES!$E41/CARTÕES!$F41,0),ROUND(CARTÕES!$E41/CARTÕES!$F41,0)))</f>
        <v/>
      </c>
      <c r="BL41" s="57">
        <f>IF(AB41=0,0,IF(26=CARTÕES!$F41,CARTÕES!$E41-(CARTÕES!$F41-1)*ROUND(CARTÕES!$E41/CARTÕES!$F41,0),ROUND(CARTÕES!$E41/CARTÕES!$F41,0)))</f>
        <v/>
      </c>
      <c r="BM41" s="57">
        <f>IF(AC41=0,0,IF(27=CARTÕES!$F41,CARTÕES!$E41-(CARTÕES!$F41-1)*ROUND(CARTÕES!$E41/CARTÕES!$F41,0),ROUND(CARTÕES!$E41/CARTÕES!$F41,0)))</f>
        <v/>
      </c>
      <c r="BN41" s="57">
        <f>IF(AD41=0,0,IF(28=CARTÕES!$F41,CARTÕES!$E41-(CARTÕES!$F41-1)*ROUND(CARTÕES!$E41/CARTÕES!$F41,0),ROUND(CARTÕES!$E41/CARTÕES!$F41,0)))</f>
        <v/>
      </c>
      <c r="BO41" s="57">
        <f>IF(AE41=0,0,IF(29=CARTÕES!$F41,CARTÕES!$E41-(CARTÕES!$F41-1)*ROUND(CARTÕES!$E41/CARTÕES!$F41,0),ROUND(CARTÕES!$E41/CARTÕES!$F41,0)))</f>
        <v/>
      </c>
      <c r="BP41" s="57">
        <f>IF(AF41=0,0,IF(30=CARTÕES!$F41,CARTÕES!$E41-(CARTÕES!$F41-1)*ROUND(CARTÕES!$E41/CARTÕES!$F41,0),ROUND(CARTÕES!$E41/CARTÕES!$F41,0)))</f>
        <v/>
      </c>
      <c r="BQ41" s="57">
        <f>IF(AG41=0,0,IF(31=CARTÕES!$F41,CARTÕES!$E41-(CARTÕES!$F41-1)*ROUND(CARTÕES!$E41/CARTÕES!$F41,0),ROUND(CARTÕES!$E41/CARTÕES!$F41,0)))</f>
        <v/>
      </c>
      <c r="BR41" s="57">
        <f>IF(AH41=0,0,IF(32=CARTÕES!$F41,CARTÕES!$E41-(CARTÕES!$F41-1)*ROUND(CARTÕES!$E41/CARTÕES!$F41,0),ROUND(CARTÕES!$E41/CARTÕES!$F41,0)))</f>
        <v/>
      </c>
      <c r="BS41" s="57">
        <f>IF(AI41=0,0,IF(33=CARTÕES!$F41,CARTÕES!$E41-(CARTÕES!$F41-1)*ROUND(CARTÕES!$E41/CARTÕES!$F41,0),ROUND(CARTÕES!$E41/CARTÕES!$F41,0)))</f>
        <v/>
      </c>
      <c r="BT41" s="57">
        <f>IF(AJ41=0,0,IF(34=CARTÕES!$F41,CARTÕES!$E41-(CARTÕES!$F41-1)*ROUND(CARTÕES!$E41/CARTÕES!$F41,0),ROUND(CARTÕES!$E41/CARTÕES!$F41,0)))</f>
        <v/>
      </c>
      <c r="BU41" s="57">
        <f>IF(AK41=0,0,IF(35=CARTÕES!$F41,CARTÕES!$E41-(CARTÕES!$F41-1)*ROUND(CARTÕES!$E41/CARTÕES!$F41,0),ROUND(CARTÕES!$E41/CARTÕES!$F41,0)))</f>
        <v/>
      </c>
      <c r="BV41" s="57">
        <f>IF(AL41=0,0,IF(36=CARTÕES!$F41,CARTÕES!$E41-(CARTÕES!$F41-1)*ROUND(CARTÕES!$E41/CARTÕES!$F41,0),ROUND(CARTÕES!$E41/CARTÕES!$F41,0)))</f>
        <v/>
      </c>
    </row>
    <row r="42">
      <c r="A42" s="55">
        <f>IF(CARTÕES!$C42="","",CARTÕES!$C42)</f>
        <v/>
      </c>
      <c r="B42" s="56">
        <f>SUMPRODUCT((C42:AL42='RESUMO MENSAL'!$C$4)*AM42:BV42)</f>
        <v/>
      </c>
      <c r="C42" s="57">
        <f>IF(OR(CARTÕES!$K42=0,CARTÕES!$F42=""),0,IF(1&gt;CARTÕES!$F42,0,CARTÕES!$K42+1-1))</f>
        <v/>
      </c>
      <c r="D42" s="57">
        <f>IF(OR(CARTÕES!$K42=0,CARTÕES!$F42=""),0,IF(2&gt;CARTÕES!$F42,0,CARTÕES!$K42+2-1))</f>
        <v/>
      </c>
      <c r="E42" s="57">
        <f>IF(OR(CARTÕES!$K42=0,CARTÕES!$F42=""),0,IF(3&gt;CARTÕES!$F42,0,CARTÕES!$K42+3-1))</f>
        <v/>
      </c>
      <c r="F42" s="57">
        <f>IF(OR(CARTÕES!$K42=0,CARTÕES!$F42=""),0,IF(4&gt;CARTÕES!$F42,0,CARTÕES!$K42+4-1))</f>
        <v/>
      </c>
      <c r="G42" s="57">
        <f>IF(OR(CARTÕES!$K42=0,CARTÕES!$F42=""),0,IF(5&gt;CARTÕES!$F42,0,CARTÕES!$K42+5-1))</f>
        <v/>
      </c>
      <c r="H42" s="57">
        <f>IF(OR(CARTÕES!$K42=0,CARTÕES!$F42=""),0,IF(6&gt;CARTÕES!$F42,0,CARTÕES!$K42+6-1))</f>
        <v/>
      </c>
      <c r="I42" s="57">
        <f>IF(OR(CARTÕES!$K42=0,CARTÕES!$F42=""),0,IF(7&gt;CARTÕES!$F42,0,CARTÕES!$K42+7-1))</f>
        <v/>
      </c>
      <c r="J42" s="57">
        <f>IF(OR(CARTÕES!$K42=0,CARTÕES!$F42=""),0,IF(8&gt;CARTÕES!$F42,0,CARTÕES!$K42+8-1))</f>
        <v/>
      </c>
      <c r="K42" s="57">
        <f>IF(OR(CARTÕES!$K42=0,CARTÕES!$F42=""),0,IF(9&gt;CARTÕES!$F42,0,CARTÕES!$K42+9-1))</f>
        <v/>
      </c>
      <c r="L42" s="57">
        <f>IF(OR(CARTÕES!$K42=0,CARTÕES!$F42=""),0,IF(10&gt;CARTÕES!$F42,0,CARTÕES!$K42+10-1))</f>
        <v/>
      </c>
      <c r="M42" s="57">
        <f>IF(OR(CARTÕES!$K42=0,CARTÕES!$F42=""),0,IF(11&gt;CARTÕES!$F42,0,CARTÕES!$K42+11-1))</f>
        <v/>
      </c>
      <c r="N42" s="57">
        <f>IF(OR(CARTÕES!$K42=0,CARTÕES!$F42=""),0,IF(12&gt;CARTÕES!$F42,0,CARTÕES!$K42+12-1))</f>
        <v/>
      </c>
      <c r="O42" s="57">
        <f>IF(OR(CARTÕES!$K42=0,CARTÕES!$F42=""),0,IF(13&gt;CARTÕES!$F42,0,CARTÕES!$K42+13-1))</f>
        <v/>
      </c>
      <c r="P42" s="57">
        <f>IF(OR(CARTÕES!$K42=0,CARTÕES!$F42=""),0,IF(14&gt;CARTÕES!$F42,0,CARTÕES!$K42+14-1))</f>
        <v/>
      </c>
      <c r="Q42" s="57">
        <f>IF(OR(CARTÕES!$K42=0,CARTÕES!$F42=""),0,IF(15&gt;CARTÕES!$F42,0,CARTÕES!$K42+15-1))</f>
        <v/>
      </c>
      <c r="R42" s="57">
        <f>IF(OR(CARTÕES!$K42=0,CARTÕES!$F42=""),0,IF(16&gt;CARTÕES!$F42,0,CARTÕES!$K42+16-1))</f>
        <v/>
      </c>
      <c r="S42" s="57">
        <f>IF(OR(CARTÕES!$K42=0,CARTÕES!$F42=""),0,IF(17&gt;CARTÕES!$F42,0,CARTÕES!$K42+17-1))</f>
        <v/>
      </c>
      <c r="T42" s="57">
        <f>IF(OR(CARTÕES!$K42=0,CARTÕES!$F42=""),0,IF(18&gt;CARTÕES!$F42,0,CARTÕES!$K42+18-1))</f>
        <v/>
      </c>
      <c r="U42" s="57">
        <f>IF(OR(CARTÕES!$K42=0,CARTÕES!$F42=""),0,IF(19&gt;CARTÕES!$F42,0,CARTÕES!$K42+19-1))</f>
        <v/>
      </c>
      <c r="V42" s="57">
        <f>IF(OR(CARTÕES!$K42=0,CARTÕES!$F42=""),0,IF(20&gt;CARTÕES!$F42,0,CARTÕES!$K42+20-1))</f>
        <v/>
      </c>
      <c r="W42" s="57">
        <f>IF(OR(CARTÕES!$K42=0,CARTÕES!$F42=""),0,IF(21&gt;CARTÕES!$F42,0,CARTÕES!$K42+21-1))</f>
        <v/>
      </c>
      <c r="X42" s="57">
        <f>IF(OR(CARTÕES!$K42=0,CARTÕES!$F42=""),0,IF(22&gt;CARTÕES!$F42,0,CARTÕES!$K42+22-1))</f>
        <v/>
      </c>
      <c r="Y42" s="57">
        <f>IF(OR(CARTÕES!$K42=0,CARTÕES!$F42=""),0,IF(23&gt;CARTÕES!$F42,0,CARTÕES!$K42+23-1))</f>
        <v/>
      </c>
      <c r="Z42" s="57">
        <f>IF(OR(CARTÕES!$K42=0,CARTÕES!$F42=""),0,IF(24&gt;CARTÕES!$F42,0,CARTÕES!$K42+24-1))</f>
        <v/>
      </c>
      <c r="AA42" s="57">
        <f>IF(OR(CARTÕES!$K42=0,CARTÕES!$F42=""),0,IF(25&gt;CARTÕES!$F42,0,CARTÕES!$K42+25-1))</f>
        <v/>
      </c>
      <c r="AB42" s="57">
        <f>IF(OR(CARTÕES!$K42=0,CARTÕES!$F42=""),0,IF(26&gt;CARTÕES!$F42,0,CARTÕES!$K42+26-1))</f>
        <v/>
      </c>
      <c r="AC42" s="57">
        <f>IF(OR(CARTÕES!$K42=0,CARTÕES!$F42=""),0,IF(27&gt;CARTÕES!$F42,0,CARTÕES!$K42+27-1))</f>
        <v/>
      </c>
      <c r="AD42" s="57">
        <f>IF(OR(CARTÕES!$K42=0,CARTÕES!$F42=""),0,IF(28&gt;CARTÕES!$F42,0,CARTÕES!$K42+28-1))</f>
        <v/>
      </c>
      <c r="AE42" s="57">
        <f>IF(OR(CARTÕES!$K42=0,CARTÕES!$F42=""),0,IF(29&gt;CARTÕES!$F42,0,CARTÕES!$K42+29-1))</f>
        <v/>
      </c>
      <c r="AF42" s="57">
        <f>IF(OR(CARTÕES!$K42=0,CARTÕES!$F42=""),0,IF(30&gt;CARTÕES!$F42,0,CARTÕES!$K42+30-1))</f>
        <v/>
      </c>
      <c r="AG42" s="57">
        <f>IF(OR(CARTÕES!$K42=0,CARTÕES!$F42=""),0,IF(31&gt;CARTÕES!$F42,0,CARTÕES!$K42+31-1))</f>
        <v/>
      </c>
      <c r="AH42" s="57">
        <f>IF(OR(CARTÕES!$K42=0,CARTÕES!$F42=""),0,IF(32&gt;CARTÕES!$F42,0,CARTÕES!$K42+32-1))</f>
        <v/>
      </c>
      <c r="AI42" s="57">
        <f>IF(OR(CARTÕES!$K42=0,CARTÕES!$F42=""),0,IF(33&gt;CARTÕES!$F42,0,CARTÕES!$K42+33-1))</f>
        <v/>
      </c>
      <c r="AJ42" s="57">
        <f>IF(OR(CARTÕES!$K42=0,CARTÕES!$F42=""),0,IF(34&gt;CARTÕES!$F42,0,CARTÕES!$K42+34-1))</f>
        <v/>
      </c>
      <c r="AK42" s="57">
        <f>IF(OR(CARTÕES!$K42=0,CARTÕES!$F42=""),0,IF(35&gt;CARTÕES!$F42,0,CARTÕES!$K42+35-1))</f>
        <v/>
      </c>
      <c r="AL42" s="57">
        <f>IF(OR(CARTÕES!$K42=0,CARTÕES!$F42=""),0,IF(36&gt;CARTÕES!$F42,0,CARTÕES!$K42+36-1))</f>
        <v/>
      </c>
      <c r="AM42" s="57">
        <f>IF(C42=0,0,IF(1=CARTÕES!$F42,CARTÕES!$E42-(CARTÕES!$F42-1)*ROUND(CARTÕES!$E42/CARTÕES!$F42,0),ROUND(CARTÕES!$E42/CARTÕES!$F42,0)))</f>
        <v/>
      </c>
      <c r="AN42" s="57">
        <f>IF(D42=0,0,IF(2=CARTÕES!$F42,CARTÕES!$E42-(CARTÕES!$F42-1)*ROUND(CARTÕES!$E42/CARTÕES!$F42,0),ROUND(CARTÕES!$E42/CARTÕES!$F42,0)))</f>
        <v/>
      </c>
      <c r="AO42" s="57">
        <f>IF(E42=0,0,IF(3=CARTÕES!$F42,CARTÕES!$E42-(CARTÕES!$F42-1)*ROUND(CARTÕES!$E42/CARTÕES!$F42,0),ROUND(CARTÕES!$E42/CARTÕES!$F42,0)))</f>
        <v/>
      </c>
      <c r="AP42" s="57">
        <f>IF(F42=0,0,IF(4=CARTÕES!$F42,CARTÕES!$E42-(CARTÕES!$F42-1)*ROUND(CARTÕES!$E42/CARTÕES!$F42,0),ROUND(CARTÕES!$E42/CARTÕES!$F42,0)))</f>
        <v/>
      </c>
      <c r="AQ42" s="57">
        <f>IF(G42=0,0,IF(5=CARTÕES!$F42,CARTÕES!$E42-(CARTÕES!$F42-1)*ROUND(CARTÕES!$E42/CARTÕES!$F42,0),ROUND(CARTÕES!$E42/CARTÕES!$F42,0)))</f>
        <v/>
      </c>
      <c r="AR42" s="57">
        <f>IF(H42=0,0,IF(6=CARTÕES!$F42,CARTÕES!$E42-(CARTÕES!$F42-1)*ROUND(CARTÕES!$E42/CARTÕES!$F42,0),ROUND(CARTÕES!$E42/CARTÕES!$F42,0)))</f>
        <v/>
      </c>
      <c r="AS42" s="57">
        <f>IF(I42=0,0,IF(7=CARTÕES!$F42,CARTÕES!$E42-(CARTÕES!$F42-1)*ROUND(CARTÕES!$E42/CARTÕES!$F42,0),ROUND(CARTÕES!$E42/CARTÕES!$F42,0)))</f>
        <v/>
      </c>
      <c r="AT42" s="57">
        <f>IF(J42=0,0,IF(8=CARTÕES!$F42,CARTÕES!$E42-(CARTÕES!$F42-1)*ROUND(CARTÕES!$E42/CARTÕES!$F42,0),ROUND(CARTÕES!$E42/CARTÕES!$F42,0)))</f>
        <v/>
      </c>
      <c r="AU42" s="57">
        <f>IF(K42=0,0,IF(9=CARTÕES!$F42,CARTÕES!$E42-(CARTÕES!$F42-1)*ROUND(CARTÕES!$E42/CARTÕES!$F42,0),ROUND(CARTÕES!$E42/CARTÕES!$F42,0)))</f>
        <v/>
      </c>
      <c r="AV42" s="57">
        <f>IF(L42=0,0,IF(10=CARTÕES!$F42,CARTÕES!$E42-(CARTÕES!$F42-1)*ROUND(CARTÕES!$E42/CARTÕES!$F42,0),ROUND(CARTÕES!$E42/CARTÕES!$F42,0)))</f>
        <v/>
      </c>
      <c r="AW42" s="57">
        <f>IF(M42=0,0,IF(11=CARTÕES!$F42,CARTÕES!$E42-(CARTÕES!$F42-1)*ROUND(CARTÕES!$E42/CARTÕES!$F42,0),ROUND(CARTÕES!$E42/CARTÕES!$F42,0)))</f>
        <v/>
      </c>
      <c r="AX42" s="57">
        <f>IF(N42=0,0,IF(12=CARTÕES!$F42,CARTÕES!$E42-(CARTÕES!$F42-1)*ROUND(CARTÕES!$E42/CARTÕES!$F42,0),ROUND(CARTÕES!$E42/CARTÕES!$F42,0)))</f>
        <v/>
      </c>
      <c r="AY42" s="57">
        <f>IF(O42=0,0,IF(13=CARTÕES!$F42,CARTÕES!$E42-(CARTÕES!$F42-1)*ROUND(CARTÕES!$E42/CARTÕES!$F42,0),ROUND(CARTÕES!$E42/CARTÕES!$F42,0)))</f>
        <v/>
      </c>
      <c r="AZ42" s="57">
        <f>IF(P42=0,0,IF(14=CARTÕES!$F42,CARTÕES!$E42-(CARTÕES!$F42-1)*ROUND(CARTÕES!$E42/CARTÕES!$F42,0),ROUND(CARTÕES!$E42/CARTÕES!$F42,0)))</f>
        <v/>
      </c>
      <c r="BA42" s="57">
        <f>IF(Q42=0,0,IF(15=CARTÕES!$F42,CARTÕES!$E42-(CARTÕES!$F42-1)*ROUND(CARTÕES!$E42/CARTÕES!$F42,0),ROUND(CARTÕES!$E42/CARTÕES!$F42,0)))</f>
        <v/>
      </c>
      <c r="BB42" s="57">
        <f>IF(R42=0,0,IF(16=CARTÕES!$F42,CARTÕES!$E42-(CARTÕES!$F42-1)*ROUND(CARTÕES!$E42/CARTÕES!$F42,0),ROUND(CARTÕES!$E42/CARTÕES!$F42,0)))</f>
        <v/>
      </c>
      <c r="BC42" s="57">
        <f>IF(S42=0,0,IF(17=CARTÕES!$F42,CARTÕES!$E42-(CARTÕES!$F42-1)*ROUND(CARTÕES!$E42/CARTÕES!$F42,0),ROUND(CARTÕES!$E42/CARTÕES!$F42,0)))</f>
        <v/>
      </c>
      <c r="BD42" s="57">
        <f>IF(T42=0,0,IF(18=CARTÕES!$F42,CARTÕES!$E42-(CARTÕES!$F42-1)*ROUND(CARTÕES!$E42/CARTÕES!$F42,0),ROUND(CARTÕES!$E42/CARTÕES!$F42,0)))</f>
        <v/>
      </c>
      <c r="BE42" s="57">
        <f>IF(U42=0,0,IF(19=CARTÕES!$F42,CARTÕES!$E42-(CARTÕES!$F42-1)*ROUND(CARTÕES!$E42/CARTÕES!$F42,0),ROUND(CARTÕES!$E42/CARTÕES!$F42,0)))</f>
        <v/>
      </c>
      <c r="BF42" s="57">
        <f>IF(V42=0,0,IF(20=CARTÕES!$F42,CARTÕES!$E42-(CARTÕES!$F42-1)*ROUND(CARTÕES!$E42/CARTÕES!$F42,0),ROUND(CARTÕES!$E42/CARTÕES!$F42,0)))</f>
        <v/>
      </c>
      <c r="BG42" s="57">
        <f>IF(W42=0,0,IF(21=CARTÕES!$F42,CARTÕES!$E42-(CARTÕES!$F42-1)*ROUND(CARTÕES!$E42/CARTÕES!$F42,0),ROUND(CARTÕES!$E42/CARTÕES!$F42,0)))</f>
        <v/>
      </c>
      <c r="BH42" s="57">
        <f>IF(X42=0,0,IF(22=CARTÕES!$F42,CARTÕES!$E42-(CARTÕES!$F42-1)*ROUND(CARTÕES!$E42/CARTÕES!$F42,0),ROUND(CARTÕES!$E42/CARTÕES!$F42,0)))</f>
        <v/>
      </c>
      <c r="BI42" s="57">
        <f>IF(Y42=0,0,IF(23=CARTÕES!$F42,CARTÕES!$E42-(CARTÕES!$F42-1)*ROUND(CARTÕES!$E42/CARTÕES!$F42,0),ROUND(CARTÕES!$E42/CARTÕES!$F42,0)))</f>
        <v/>
      </c>
      <c r="BJ42" s="57">
        <f>IF(Z42=0,0,IF(24=CARTÕES!$F42,CARTÕES!$E42-(CARTÕES!$F42-1)*ROUND(CARTÕES!$E42/CARTÕES!$F42,0),ROUND(CARTÕES!$E42/CARTÕES!$F42,0)))</f>
        <v/>
      </c>
      <c r="BK42" s="57">
        <f>IF(AA42=0,0,IF(25=CARTÕES!$F42,CARTÕES!$E42-(CARTÕES!$F42-1)*ROUND(CARTÕES!$E42/CARTÕES!$F42,0),ROUND(CARTÕES!$E42/CARTÕES!$F42,0)))</f>
        <v/>
      </c>
      <c r="BL42" s="57">
        <f>IF(AB42=0,0,IF(26=CARTÕES!$F42,CARTÕES!$E42-(CARTÕES!$F42-1)*ROUND(CARTÕES!$E42/CARTÕES!$F42,0),ROUND(CARTÕES!$E42/CARTÕES!$F42,0)))</f>
        <v/>
      </c>
      <c r="BM42" s="57">
        <f>IF(AC42=0,0,IF(27=CARTÕES!$F42,CARTÕES!$E42-(CARTÕES!$F42-1)*ROUND(CARTÕES!$E42/CARTÕES!$F42,0),ROUND(CARTÕES!$E42/CARTÕES!$F42,0)))</f>
        <v/>
      </c>
      <c r="BN42" s="57">
        <f>IF(AD42=0,0,IF(28=CARTÕES!$F42,CARTÕES!$E42-(CARTÕES!$F42-1)*ROUND(CARTÕES!$E42/CARTÕES!$F42,0),ROUND(CARTÕES!$E42/CARTÕES!$F42,0)))</f>
        <v/>
      </c>
      <c r="BO42" s="57">
        <f>IF(AE42=0,0,IF(29=CARTÕES!$F42,CARTÕES!$E42-(CARTÕES!$F42-1)*ROUND(CARTÕES!$E42/CARTÕES!$F42,0),ROUND(CARTÕES!$E42/CARTÕES!$F42,0)))</f>
        <v/>
      </c>
      <c r="BP42" s="57">
        <f>IF(AF42=0,0,IF(30=CARTÕES!$F42,CARTÕES!$E42-(CARTÕES!$F42-1)*ROUND(CARTÕES!$E42/CARTÕES!$F42,0),ROUND(CARTÕES!$E42/CARTÕES!$F42,0)))</f>
        <v/>
      </c>
      <c r="BQ42" s="57">
        <f>IF(AG42=0,0,IF(31=CARTÕES!$F42,CARTÕES!$E42-(CARTÕES!$F42-1)*ROUND(CARTÕES!$E42/CARTÕES!$F42,0),ROUND(CARTÕES!$E42/CARTÕES!$F42,0)))</f>
        <v/>
      </c>
      <c r="BR42" s="57">
        <f>IF(AH42=0,0,IF(32=CARTÕES!$F42,CARTÕES!$E42-(CARTÕES!$F42-1)*ROUND(CARTÕES!$E42/CARTÕES!$F42,0),ROUND(CARTÕES!$E42/CARTÕES!$F42,0)))</f>
        <v/>
      </c>
      <c r="BS42" s="57">
        <f>IF(AI42=0,0,IF(33=CARTÕES!$F42,CARTÕES!$E42-(CARTÕES!$F42-1)*ROUND(CARTÕES!$E42/CARTÕES!$F42,0),ROUND(CARTÕES!$E42/CARTÕES!$F42,0)))</f>
        <v/>
      </c>
      <c r="BT42" s="57">
        <f>IF(AJ42=0,0,IF(34=CARTÕES!$F42,CARTÕES!$E42-(CARTÕES!$F42-1)*ROUND(CARTÕES!$E42/CARTÕES!$F42,0),ROUND(CARTÕES!$E42/CARTÕES!$F42,0)))</f>
        <v/>
      </c>
      <c r="BU42" s="57">
        <f>IF(AK42=0,0,IF(35=CARTÕES!$F42,CARTÕES!$E42-(CARTÕES!$F42-1)*ROUND(CARTÕES!$E42/CARTÕES!$F42,0),ROUND(CARTÕES!$E42/CARTÕES!$F42,0)))</f>
        <v/>
      </c>
      <c r="BV42" s="57">
        <f>IF(AL42=0,0,IF(36=CARTÕES!$F42,CARTÕES!$E42-(CARTÕES!$F42-1)*ROUND(CARTÕES!$E42/CARTÕES!$F42,0),ROUND(CARTÕES!$E42/CARTÕES!$F42,0)))</f>
        <v/>
      </c>
    </row>
    <row r="43">
      <c r="A43" s="55">
        <f>IF(CARTÕES!$C43="","",CARTÕES!$C43)</f>
        <v/>
      </c>
      <c r="B43" s="56">
        <f>SUMPRODUCT((C43:AL43='RESUMO MENSAL'!$C$4)*AM43:BV43)</f>
        <v/>
      </c>
      <c r="C43" s="57">
        <f>IF(OR(CARTÕES!$K43=0,CARTÕES!$F43=""),0,IF(1&gt;CARTÕES!$F43,0,CARTÕES!$K43+1-1))</f>
        <v/>
      </c>
      <c r="D43" s="57">
        <f>IF(OR(CARTÕES!$K43=0,CARTÕES!$F43=""),0,IF(2&gt;CARTÕES!$F43,0,CARTÕES!$K43+2-1))</f>
        <v/>
      </c>
      <c r="E43" s="57">
        <f>IF(OR(CARTÕES!$K43=0,CARTÕES!$F43=""),0,IF(3&gt;CARTÕES!$F43,0,CARTÕES!$K43+3-1))</f>
        <v/>
      </c>
      <c r="F43" s="57">
        <f>IF(OR(CARTÕES!$K43=0,CARTÕES!$F43=""),0,IF(4&gt;CARTÕES!$F43,0,CARTÕES!$K43+4-1))</f>
        <v/>
      </c>
      <c r="G43" s="57">
        <f>IF(OR(CARTÕES!$K43=0,CARTÕES!$F43=""),0,IF(5&gt;CARTÕES!$F43,0,CARTÕES!$K43+5-1))</f>
        <v/>
      </c>
      <c r="H43" s="57">
        <f>IF(OR(CARTÕES!$K43=0,CARTÕES!$F43=""),0,IF(6&gt;CARTÕES!$F43,0,CARTÕES!$K43+6-1))</f>
        <v/>
      </c>
      <c r="I43" s="57">
        <f>IF(OR(CARTÕES!$K43=0,CARTÕES!$F43=""),0,IF(7&gt;CARTÕES!$F43,0,CARTÕES!$K43+7-1))</f>
        <v/>
      </c>
      <c r="J43" s="57">
        <f>IF(OR(CARTÕES!$K43=0,CARTÕES!$F43=""),0,IF(8&gt;CARTÕES!$F43,0,CARTÕES!$K43+8-1))</f>
        <v/>
      </c>
      <c r="K43" s="57">
        <f>IF(OR(CARTÕES!$K43=0,CARTÕES!$F43=""),0,IF(9&gt;CARTÕES!$F43,0,CARTÕES!$K43+9-1))</f>
        <v/>
      </c>
      <c r="L43" s="57">
        <f>IF(OR(CARTÕES!$K43=0,CARTÕES!$F43=""),0,IF(10&gt;CARTÕES!$F43,0,CARTÕES!$K43+10-1))</f>
        <v/>
      </c>
      <c r="M43" s="57">
        <f>IF(OR(CARTÕES!$K43=0,CARTÕES!$F43=""),0,IF(11&gt;CARTÕES!$F43,0,CARTÕES!$K43+11-1))</f>
        <v/>
      </c>
      <c r="N43" s="57">
        <f>IF(OR(CARTÕES!$K43=0,CARTÕES!$F43=""),0,IF(12&gt;CARTÕES!$F43,0,CARTÕES!$K43+12-1))</f>
        <v/>
      </c>
      <c r="O43" s="57">
        <f>IF(OR(CARTÕES!$K43=0,CARTÕES!$F43=""),0,IF(13&gt;CARTÕES!$F43,0,CARTÕES!$K43+13-1))</f>
        <v/>
      </c>
      <c r="P43" s="57">
        <f>IF(OR(CARTÕES!$K43=0,CARTÕES!$F43=""),0,IF(14&gt;CARTÕES!$F43,0,CARTÕES!$K43+14-1))</f>
        <v/>
      </c>
      <c r="Q43" s="57">
        <f>IF(OR(CARTÕES!$K43=0,CARTÕES!$F43=""),0,IF(15&gt;CARTÕES!$F43,0,CARTÕES!$K43+15-1))</f>
        <v/>
      </c>
      <c r="R43" s="57">
        <f>IF(OR(CARTÕES!$K43=0,CARTÕES!$F43=""),0,IF(16&gt;CARTÕES!$F43,0,CARTÕES!$K43+16-1))</f>
        <v/>
      </c>
      <c r="S43" s="57">
        <f>IF(OR(CARTÕES!$K43=0,CARTÕES!$F43=""),0,IF(17&gt;CARTÕES!$F43,0,CARTÕES!$K43+17-1))</f>
        <v/>
      </c>
      <c r="T43" s="57">
        <f>IF(OR(CARTÕES!$K43=0,CARTÕES!$F43=""),0,IF(18&gt;CARTÕES!$F43,0,CARTÕES!$K43+18-1))</f>
        <v/>
      </c>
      <c r="U43" s="57">
        <f>IF(OR(CARTÕES!$K43=0,CARTÕES!$F43=""),0,IF(19&gt;CARTÕES!$F43,0,CARTÕES!$K43+19-1))</f>
        <v/>
      </c>
      <c r="V43" s="57">
        <f>IF(OR(CARTÕES!$K43=0,CARTÕES!$F43=""),0,IF(20&gt;CARTÕES!$F43,0,CARTÕES!$K43+20-1))</f>
        <v/>
      </c>
      <c r="W43" s="57">
        <f>IF(OR(CARTÕES!$K43=0,CARTÕES!$F43=""),0,IF(21&gt;CARTÕES!$F43,0,CARTÕES!$K43+21-1))</f>
        <v/>
      </c>
      <c r="X43" s="57">
        <f>IF(OR(CARTÕES!$K43=0,CARTÕES!$F43=""),0,IF(22&gt;CARTÕES!$F43,0,CARTÕES!$K43+22-1))</f>
        <v/>
      </c>
      <c r="Y43" s="57">
        <f>IF(OR(CARTÕES!$K43=0,CARTÕES!$F43=""),0,IF(23&gt;CARTÕES!$F43,0,CARTÕES!$K43+23-1))</f>
        <v/>
      </c>
      <c r="Z43" s="57">
        <f>IF(OR(CARTÕES!$K43=0,CARTÕES!$F43=""),0,IF(24&gt;CARTÕES!$F43,0,CARTÕES!$K43+24-1))</f>
        <v/>
      </c>
      <c r="AA43" s="57">
        <f>IF(OR(CARTÕES!$K43=0,CARTÕES!$F43=""),0,IF(25&gt;CARTÕES!$F43,0,CARTÕES!$K43+25-1))</f>
        <v/>
      </c>
      <c r="AB43" s="57">
        <f>IF(OR(CARTÕES!$K43=0,CARTÕES!$F43=""),0,IF(26&gt;CARTÕES!$F43,0,CARTÕES!$K43+26-1))</f>
        <v/>
      </c>
      <c r="AC43" s="57">
        <f>IF(OR(CARTÕES!$K43=0,CARTÕES!$F43=""),0,IF(27&gt;CARTÕES!$F43,0,CARTÕES!$K43+27-1))</f>
        <v/>
      </c>
      <c r="AD43" s="57">
        <f>IF(OR(CARTÕES!$K43=0,CARTÕES!$F43=""),0,IF(28&gt;CARTÕES!$F43,0,CARTÕES!$K43+28-1))</f>
        <v/>
      </c>
      <c r="AE43" s="57">
        <f>IF(OR(CARTÕES!$K43=0,CARTÕES!$F43=""),0,IF(29&gt;CARTÕES!$F43,0,CARTÕES!$K43+29-1))</f>
        <v/>
      </c>
      <c r="AF43" s="57">
        <f>IF(OR(CARTÕES!$K43=0,CARTÕES!$F43=""),0,IF(30&gt;CARTÕES!$F43,0,CARTÕES!$K43+30-1))</f>
        <v/>
      </c>
      <c r="AG43" s="57">
        <f>IF(OR(CARTÕES!$K43=0,CARTÕES!$F43=""),0,IF(31&gt;CARTÕES!$F43,0,CARTÕES!$K43+31-1))</f>
        <v/>
      </c>
      <c r="AH43" s="57">
        <f>IF(OR(CARTÕES!$K43=0,CARTÕES!$F43=""),0,IF(32&gt;CARTÕES!$F43,0,CARTÕES!$K43+32-1))</f>
        <v/>
      </c>
      <c r="AI43" s="57">
        <f>IF(OR(CARTÕES!$K43=0,CARTÕES!$F43=""),0,IF(33&gt;CARTÕES!$F43,0,CARTÕES!$K43+33-1))</f>
        <v/>
      </c>
      <c r="AJ43" s="57">
        <f>IF(OR(CARTÕES!$K43=0,CARTÕES!$F43=""),0,IF(34&gt;CARTÕES!$F43,0,CARTÕES!$K43+34-1))</f>
        <v/>
      </c>
      <c r="AK43" s="57">
        <f>IF(OR(CARTÕES!$K43=0,CARTÕES!$F43=""),0,IF(35&gt;CARTÕES!$F43,0,CARTÕES!$K43+35-1))</f>
        <v/>
      </c>
      <c r="AL43" s="57">
        <f>IF(OR(CARTÕES!$K43=0,CARTÕES!$F43=""),0,IF(36&gt;CARTÕES!$F43,0,CARTÕES!$K43+36-1))</f>
        <v/>
      </c>
      <c r="AM43" s="57">
        <f>IF(C43=0,0,IF(1=CARTÕES!$F43,CARTÕES!$E43-(CARTÕES!$F43-1)*ROUND(CARTÕES!$E43/CARTÕES!$F43,0),ROUND(CARTÕES!$E43/CARTÕES!$F43,0)))</f>
        <v/>
      </c>
      <c r="AN43" s="57">
        <f>IF(D43=0,0,IF(2=CARTÕES!$F43,CARTÕES!$E43-(CARTÕES!$F43-1)*ROUND(CARTÕES!$E43/CARTÕES!$F43,0),ROUND(CARTÕES!$E43/CARTÕES!$F43,0)))</f>
        <v/>
      </c>
      <c r="AO43" s="57">
        <f>IF(E43=0,0,IF(3=CARTÕES!$F43,CARTÕES!$E43-(CARTÕES!$F43-1)*ROUND(CARTÕES!$E43/CARTÕES!$F43,0),ROUND(CARTÕES!$E43/CARTÕES!$F43,0)))</f>
        <v/>
      </c>
      <c r="AP43" s="57">
        <f>IF(F43=0,0,IF(4=CARTÕES!$F43,CARTÕES!$E43-(CARTÕES!$F43-1)*ROUND(CARTÕES!$E43/CARTÕES!$F43,0),ROUND(CARTÕES!$E43/CARTÕES!$F43,0)))</f>
        <v/>
      </c>
      <c r="AQ43" s="57">
        <f>IF(G43=0,0,IF(5=CARTÕES!$F43,CARTÕES!$E43-(CARTÕES!$F43-1)*ROUND(CARTÕES!$E43/CARTÕES!$F43,0),ROUND(CARTÕES!$E43/CARTÕES!$F43,0)))</f>
        <v/>
      </c>
      <c r="AR43" s="57">
        <f>IF(H43=0,0,IF(6=CARTÕES!$F43,CARTÕES!$E43-(CARTÕES!$F43-1)*ROUND(CARTÕES!$E43/CARTÕES!$F43,0),ROUND(CARTÕES!$E43/CARTÕES!$F43,0)))</f>
        <v/>
      </c>
      <c r="AS43" s="57">
        <f>IF(I43=0,0,IF(7=CARTÕES!$F43,CARTÕES!$E43-(CARTÕES!$F43-1)*ROUND(CARTÕES!$E43/CARTÕES!$F43,0),ROUND(CARTÕES!$E43/CARTÕES!$F43,0)))</f>
        <v/>
      </c>
      <c r="AT43" s="57">
        <f>IF(J43=0,0,IF(8=CARTÕES!$F43,CARTÕES!$E43-(CARTÕES!$F43-1)*ROUND(CARTÕES!$E43/CARTÕES!$F43,0),ROUND(CARTÕES!$E43/CARTÕES!$F43,0)))</f>
        <v/>
      </c>
      <c r="AU43" s="57">
        <f>IF(K43=0,0,IF(9=CARTÕES!$F43,CARTÕES!$E43-(CARTÕES!$F43-1)*ROUND(CARTÕES!$E43/CARTÕES!$F43,0),ROUND(CARTÕES!$E43/CARTÕES!$F43,0)))</f>
        <v/>
      </c>
      <c r="AV43" s="57">
        <f>IF(L43=0,0,IF(10=CARTÕES!$F43,CARTÕES!$E43-(CARTÕES!$F43-1)*ROUND(CARTÕES!$E43/CARTÕES!$F43,0),ROUND(CARTÕES!$E43/CARTÕES!$F43,0)))</f>
        <v/>
      </c>
      <c r="AW43" s="57">
        <f>IF(M43=0,0,IF(11=CARTÕES!$F43,CARTÕES!$E43-(CARTÕES!$F43-1)*ROUND(CARTÕES!$E43/CARTÕES!$F43,0),ROUND(CARTÕES!$E43/CARTÕES!$F43,0)))</f>
        <v/>
      </c>
      <c r="AX43" s="57">
        <f>IF(N43=0,0,IF(12=CARTÕES!$F43,CARTÕES!$E43-(CARTÕES!$F43-1)*ROUND(CARTÕES!$E43/CARTÕES!$F43,0),ROUND(CARTÕES!$E43/CARTÕES!$F43,0)))</f>
        <v/>
      </c>
      <c r="AY43" s="57">
        <f>IF(O43=0,0,IF(13=CARTÕES!$F43,CARTÕES!$E43-(CARTÕES!$F43-1)*ROUND(CARTÕES!$E43/CARTÕES!$F43,0),ROUND(CARTÕES!$E43/CARTÕES!$F43,0)))</f>
        <v/>
      </c>
      <c r="AZ43" s="57">
        <f>IF(P43=0,0,IF(14=CARTÕES!$F43,CARTÕES!$E43-(CARTÕES!$F43-1)*ROUND(CARTÕES!$E43/CARTÕES!$F43,0),ROUND(CARTÕES!$E43/CARTÕES!$F43,0)))</f>
        <v/>
      </c>
      <c r="BA43" s="57">
        <f>IF(Q43=0,0,IF(15=CARTÕES!$F43,CARTÕES!$E43-(CARTÕES!$F43-1)*ROUND(CARTÕES!$E43/CARTÕES!$F43,0),ROUND(CARTÕES!$E43/CARTÕES!$F43,0)))</f>
        <v/>
      </c>
      <c r="BB43" s="57">
        <f>IF(R43=0,0,IF(16=CARTÕES!$F43,CARTÕES!$E43-(CARTÕES!$F43-1)*ROUND(CARTÕES!$E43/CARTÕES!$F43,0),ROUND(CARTÕES!$E43/CARTÕES!$F43,0)))</f>
        <v/>
      </c>
      <c r="BC43" s="57">
        <f>IF(S43=0,0,IF(17=CARTÕES!$F43,CARTÕES!$E43-(CARTÕES!$F43-1)*ROUND(CARTÕES!$E43/CARTÕES!$F43,0),ROUND(CARTÕES!$E43/CARTÕES!$F43,0)))</f>
        <v/>
      </c>
      <c r="BD43" s="57">
        <f>IF(T43=0,0,IF(18=CARTÕES!$F43,CARTÕES!$E43-(CARTÕES!$F43-1)*ROUND(CARTÕES!$E43/CARTÕES!$F43,0),ROUND(CARTÕES!$E43/CARTÕES!$F43,0)))</f>
        <v/>
      </c>
      <c r="BE43" s="57">
        <f>IF(U43=0,0,IF(19=CARTÕES!$F43,CARTÕES!$E43-(CARTÕES!$F43-1)*ROUND(CARTÕES!$E43/CARTÕES!$F43,0),ROUND(CARTÕES!$E43/CARTÕES!$F43,0)))</f>
        <v/>
      </c>
      <c r="BF43" s="57">
        <f>IF(V43=0,0,IF(20=CARTÕES!$F43,CARTÕES!$E43-(CARTÕES!$F43-1)*ROUND(CARTÕES!$E43/CARTÕES!$F43,0),ROUND(CARTÕES!$E43/CARTÕES!$F43,0)))</f>
        <v/>
      </c>
      <c r="BG43" s="57">
        <f>IF(W43=0,0,IF(21=CARTÕES!$F43,CARTÕES!$E43-(CARTÕES!$F43-1)*ROUND(CARTÕES!$E43/CARTÕES!$F43,0),ROUND(CARTÕES!$E43/CARTÕES!$F43,0)))</f>
        <v/>
      </c>
      <c r="BH43" s="57">
        <f>IF(X43=0,0,IF(22=CARTÕES!$F43,CARTÕES!$E43-(CARTÕES!$F43-1)*ROUND(CARTÕES!$E43/CARTÕES!$F43,0),ROUND(CARTÕES!$E43/CARTÕES!$F43,0)))</f>
        <v/>
      </c>
      <c r="BI43" s="57">
        <f>IF(Y43=0,0,IF(23=CARTÕES!$F43,CARTÕES!$E43-(CARTÕES!$F43-1)*ROUND(CARTÕES!$E43/CARTÕES!$F43,0),ROUND(CARTÕES!$E43/CARTÕES!$F43,0)))</f>
        <v/>
      </c>
      <c r="BJ43" s="57">
        <f>IF(Z43=0,0,IF(24=CARTÕES!$F43,CARTÕES!$E43-(CARTÕES!$F43-1)*ROUND(CARTÕES!$E43/CARTÕES!$F43,0),ROUND(CARTÕES!$E43/CARTÕES!$F43,0)))</f>
        <v/>
      </c>
      <c r="BK43" s="57">
        <f>IF(AA43=0,0,IF(25=CARTÕES!$F43,CARTÕES!$E43-(CARTÕES!$F43-1)*ROUND(CARTÕES!$E43/CARTÕES!$F43,0),ROUND(CARTÕES!$E43/CARTÕES!$F43,0)))</f>
        <v/>
      </c>
      <c r="BL43" s="57">
        <f>IF(AB43=0,0,IF(26=CARTÕES!$F43,CARTÕES!$E43-(CARTÕES!$F43-1)*ROUND(CARTÕES!$E43/CARTÕES!$F43,0),ROUND(CARTÕES!$E43/CARTÕES!$F43,0)))</f>
        <v/>
      </c>
      <c r="BM43" s="57">
        <f>IF(AC43=0,0,IF(27=CARTÕES!$F43,CARTÕES!$E43-(CARTÕES!$F43-1)*ROUND(CARTÕES!$E43/CARTÕES!$F43,0),ROUND(CARTÕES!$E43/CARTÕES!$F43,0)))</f>
        <v/>
      </c>
      <c r="BN43" s="57">
        <f>IF(AD43=0,0,IF(28=CARTÕES!$F43,CARTÕES!$E43-(CARTÕES!$F43-1)*ROUND(CARTÕES!$E43/CARTÕES!$F43,0),ROUND(CARTÕES!$E43/CARTÕES!$F43,0)))</f>
        <v/>
      </c>
      <c r="BO43" s="57">
        <f>IF(AE43=0,0,IF(29=CARTÕES!$F43,CARTÕES!$E43-(CARTÕES!$F43-1)*ROUND(CARTÕES!$E43/CARTÕES!$F43,0),ROUND(CARTÕES!$E43/CARTÕES!$F43,0)))</f>
        <v/>
      </c>
      <c r="BP43" s="57">
        <f>IF(AF43=0,0,IF(30=CARTÕES!$F43,CARTÕES!$E43-(CARTÕES!$F43-1)*ROUND(CARTÕES!$E43/CARTÕES!$F43,0),ROUND(CARTÕES!$E43/CARTÕES!$F43,0)))</f>
        <v/>
      </c>
      <c r="BQ43" s="57">
        <f>IF(AG43=0,0,IF(31=CARTÕES!$F43,CARTÕES!$E43-(CARTÕES!$F43-1)*ROUND(CARTÕES!$E43/CARTÕES!$F43,0),ROUND(CARTÕES!$E43/CARTÕES!$F43,0)))</f>
        <v/>
      </c>
      <c r="BR43" s="57">
        <f>IF(AH43=0,0,IF(32=CARTÕES!$F43,CARTÕES!$E43-(CARTÕES!$F43-1)*ROUND(CARTÕES!$E43/CARTÕES!$F43,0),ROUND(CARTÕES!$E43/CARTÕES!$F43,0)))</f>
        <v/>
      </c>
      <c r="BS43" s="57">
        <f>IF(AI43=0,0,IF(33=CARTÕES!$F43,CARTÕES!$E43-(CARTÕES!$F43-1)*ROUND(CARTÕES!$E43/CARTÕES!$F43,0),ROUND(CARTÕES!$E43/CARTÕES!$F43,0)))</f>
        <v/>
      </c>
      <c r="BT43" s="57">
        <f>IF(AJ43=0,0,IF(34=CARTÕES!$F43,CARTÕES!$E43-(CARTÕES!$F43-1)*ROUND(CARTÕES!$E43/CARTÕES!$F43,0),ROUND(CARTÕES!$E43/CARTÕES!$F43,0)))</f>
        <v/>
      </c>
      <c r="BU43" s="57">
        <f>IF(AK43=0,0,IF(35=CARTÕES!$F43,CARTÕES!$E43-(CARTÕES!$F43-1)*ROUND(CARTÕES!$E43/CARTÕES!$F43,0),ROUND(CARTÕES!$E43/CARTÕES!$F43,0)))</f>
        <v/>
      </c>
      <c r="BV43" s="57">
        <f>IF(AL43=0,0,IF(36=CARTÕES!$F43,CARTÕES!$E43-(CARTÕES!$F43-1)*ROUND(CARTÕES!$E43/CARTÕES!$F43,0),ROUND(CARTÕES!$E43/CARTÕES!$F43,0)))</f>
        <v/>
      </c>
    </row>
    <row r="44">
      <c r="A44" s="55">
        <f>IF(CARTÕES!$C44="","",CARTÕES!$C44)</f>
        <v/>
      </c>
      <c r="B44" s="56">
        <f>SUMPRODUCT((C44:AL44='RESUMO MENSAL'!$C$4)*AM44:BV44)</f>
        <v/>
      </c>
      <c r="C44" s="57">
        <f>IF(OR(CARTÕES!$K44=0,CARTÕES!$F44=""),0,IF(1&gt;CARTÕES!$F44,0,CARTÕES!$K44+1-1))</f>
        <v/>
      </c>
      <c r="D44" s="57">
        <f>IF(OR(CARTÕES!$K44=0,CARTÕES!$F44=""),0,IF(2&gt;CARTÕES!$F44,0,CARTÕES!$K44+2-1))</f>
        <v/>
      </c>
      <c r="E44" s="57">
        <f>IF(OR(CARTÕES!$K44=0,CARTÕES!$F44=""),0,IF(3&gt;CARTÕES!$F44,0,CARTÕES!$K44+3-1))</f>
        <v/>
      </c>
      <c r="F44" s="57">
        <f>IF(OR(CARTÕES!$K44=0,CARTÕES!$F44=""),0,IF(4&gt;CARTÕES!$F44,0,CARTÕES!$K44+4-1))</f>
        <v/>
      </c>
      <c r="G44" s="57">
        <f>IF(OR(CARTÕES!$K44=0,CARTÕES!$F44=""),0,IF(5&gt;CARTÕES!$F44,0,CARTÕES!$K44+5-1))</f>
        <v/>
      </c>
      <c r="H44" s="57">
        <f>IF(OR(CARTÕES!$K44=0,CARTÕES!$F44=""),0,IF(6&gt;CARTÕES!$F44,0,CARTÕES!$K44+6-1))</f>
        <v/>
      </c>
      <c r="I44" s="57">
        <f>IF(OR(CARTÕES!$K44=0,CARTÕES!$F44=""),0,IF(7&gt;CARTÕES!$F44,0,CARTÕES!$K44+7-1))</f>
        <v/>
      </c>
      <c r="J44" s="57">
        <f>IF(OR(CARTÕES!$K44=0,CARTÕES!$F44=""),0,IF(8&gt;CARTÕES!$F44,0,CARTÕES!$K44+8-1))</f>
        <v/>
      </c>
      <c r="K44" s="57">
        <f>IF(OR(CARTÕES!$K44=0,CARTÕES!$F44=""),0,IF(9&gt;CARTÕES!$F44,0,CARTÕES!$K44+9-1))</f>
        <v/>
      </c>
      <c r="L44" s="57">
        <f>IF(OR(CARTÕES!$K44=0,CARTÕES!$F44=""),0,IF(10&gt;CARTÕES!$F44,0,CARTÕES!$K44+10-1))</f>
        <v/>
      </c>
      <c r="M44" s="57">
        <f>IF(OR(CARTÕES!$K44=0,CARTÕES!$F44=""),0,IF(11&gt;CARTÕES!$F44,0,CARTÕES!$K44+11-1))</f>
        <v/>
      </c>
      <c r="N44" s="57">
        <f>IF(OR(CARTÕES!$K44=0,CARTÕES!$F44=""),0,IF(12&gt;CARTÕES!$F44,0,CARTÕES!$K44+12-1))</f>
        <v/>
      </c>
      <c r="O44" s="57">
        <f>IF(OR(CARTÕES!$K44=0,CARTÕES!$F44=""),0,IF(13&gt;CARTÕES!$F44,0,CARTÕES!$K44+13-1))</f>
        <v/>
      </c>
      <c r="P44" s="57">
        <f>IF(OR(CARTÕES!$K44=0,CARTÕES!$F44=""),0,IF(14&gt;CARTÕES!$F44,0,CARTÕES!$K44+14-1))</f>
        <v/>
      </c>
      <c r="Q44" s="57">
        <f>IF(OR(CARTÕES!$K44=0,CARTÕES!$F44=""),0,IF(15&gt;CARTÕES!$F44,0,CARTÕES!$K44+15-1))</f>
        <v/>
      </c>
      <c r="R44" s="57">
        <f>IF(OR(CARTÕES!$K44=0,CARTÕES!$F44=""),0,IF(16&gt;CARTÕES!$F44,0,CARTÕES!$K44+16-1))</f>
        <v/>
      </c>
      <c r="S44" s="57">
        <f>IF(OR(CARTÕES!$K44=0,CARTÕES!$F44=""),0,IF(17&gt;CARTÕES!$F44,0,CARTÕES!$K44+17-1))</f>
        <v/>
      </c>
      <c r="T44" s="57">
        <f>IF(OR(CARTÕES!$K44=0,CARTÕES!$F44=""),0,IF(18&gt;CARTÕES!$F44,0,CARTÕES!$K44+18-1))</f>
        <v/>
      </c>
      <c r="U44" s="57">
        <f>IF(OR(CARTÕES!$K44=0,CARTÕES!$F44=""),0,IF(19&gt;CARTÕES!$F44,0,CARTÕES!$K44+19-1))</f>
        <v/>
      </c>
      <c r="V44" s="57">
        <f>IF(OR(CARTÕES!$K44=0,CARTÕES!$F44=""),0,IF(20&gt;CARTÕES!$F44,0,CARTÕES!$K44+20-1))</f>
        <v/>
      </c>
      <c r="W44" s="57">
        <f>IF(OR(CARTÕES!$K44=0,CARTÕES!$F44=""),0,IF(21&gt;CARTÕES!$F44,0,CARTÕES!$K44+21-1))</f>
        <v/>
      </c>
      <c r="X44" s="57">
        <f>IF(OR(CARTÕES!$K44=0,CARTÕES!$F44=""),0,IF(22&gt;CARTÕES!$F44,0,CARTÕES!$K44+22-1))</f>
        <v/>
      </c>
      <c r="Y44" s="57">
        <f>IF(OR(CARTÕES!$K44=0,CARTÕES!$F44=""),0,IF(23&gt;CARTÕES!$F44,0,CARTÕES!$K44+23-1))</f>
        <v/>
      </c>
      <c r="Z44" s="57">
        <f>IF(OR(CARTÕES!$K44=0,CARTÕES!$F44=""),0,IF(24&gt;CARTÕES!$F44,0,CARTÕES!$K44+24-1))</f>
        <v/>
      </c>
      <c r="AA44" s="57">
        <f>IF(OR(CARTÕES!$K44=0,CARTÕES!$F44=""),0,IF(25&gt;CARTÕES!$F44,0,CARTÕES!$K44+25-1))</f>
        <v/>
      </c>
      <c r="AB44" s="57">
        <f>IF(OR(CARTÕES!$K44=0,CARTÕES!$F44=""),0,IF(26&gt;CARTÕES!$F44,0,CARTÕES!$K44+26-1))</f>
        <v/>
      </c>
      <c r="AC44" s="57">
        <f>IF(OR(CARTÕES!$K44=0,CARTÕES!$F44=""),0,IF(27&gt;CARTÕES!$F44,0,CARTÕES!$K44+27-1))</f>
        <v/>
      </c>
      <c r="AD44" s="57">
        <f>IF(OR(CARTÕES!$K44=0,CARTÕES!$F44=""),0,IF(28&gt;CARTÕES!$F44,0,CARTÕES!$K44+28-1))</f>
        <v/>
      </c>
      <c r="AE44" s="57">
        <f>IF(OR(CARTÕES!$K44=0,CARTÕES!$F44=""),0,IF(29&gt;CARTÕES!$F44,0,CARTÕES!$K44+29-1))</f>
        <v/>
      </c>
      <c r="AF44" s="57">
        <f>IF(OR(CARTÕES!$K44=0,CARTÕES!$F44=""),0,IF(30&gt;CARTÕES!$F44,0,CARTÕES!$K44+30-1))</f>
        <v/>
      </c>
      <c r="AG44" s="57">
        <f>IF(OR(CARTÕES!$K44=0,CARTÕES!$F44=""),0,IF(31&gt;CARTÕES!$F44,0,CARTÕES!$K44+31-1))</f>
        <v/>
      </c>
      <c r="AH44" s="57">
        <f>IF(OR(CARTÕES!$K44=0,CARTÕES!$F44=""),0,IF(32&gt;CARTÕES!$F44,0,CARTÕES!$K44+32-1))</f>
        <v/>
      </c>
      <c r="AI44" s="57">
        <f>IF(OR(CARTÕES!$K44=0,CARTÕES!$F44=""),0,IF(33&gt;CARTÕES!$F44,0,CARTÕES!$K44+33-1))</f>
        <v/>
      </c>
      <c r="AJ44" s="57">
        <f>IF(OR(CARTÕES!$K44=0,CARTÕES!$F44=""),0,IF(34&gt;CARTÕES!$F44,0,CARTÕES!$K44+34-1))</f>
        <v/>
      </c>
      <c r="AK44" s="57">
        <f>IF(OR(CARTÕES!$K44=0,CARTÕES!$F44=""),0,IF(35&gt;CARTÕES!$F44,0,CARTÕES!$K44+35-1))</f>
        <v/>
      </c>
      <c r="AL44" s="57">
        <f>IF(OR(CARTÕES!$K44=0,CARTÕES!$F44=""),0,IF(36&gt;CARTÕES!$F44,0,CARTÕES!$K44+36-1))</f>
        <v/>
      </c>
      <c r="AM44" s="57">
        <f>IF(C44=0,0,IF(1=CARTÕES!$F44,CARTÕES!$E44-(CARTÕES!$F44-1)*ROUND(CARTÕES!$E44/CARTÕES!$F44,0),ROUND(CARTÕES!$E44/CARTÕES!$F44,0)))</f>
        <v/>
      </c>
      <c r="AN44" s="57">
        <f>IF(D44=0,0,IF(2=CARTÕES!$F44,CARTÕES!$E44-(CARTÕES!$F44-1)*ROUND(CARTÕES!$E44/CARTÕES!$F44,0),ROUND(CARTÕES!$E44/CARTÕES!$F44,0)))</f>
        <v/>
      </c>
      <c r="AO44" s="57">
        <f>IF(E44=0,0,IF(3=CARTÕES!$F44,CARTÕES!$E44-(CARTÕES!$F44-1)*ROUND(CARTÕES!$E44/CARTÕES!$F44,0),ROUND(CARTÕES!$E44/CARTÕES!$F44,0)))</f>
        <v/>
      </c>
      <c r="AP44" s="57">
        <f>IF(F44=0,0,IF(4=CARTÕES!$F44,CARTÕES!$E44-(CARTÕES!$F44-1)*ROUND(CARTÕES!$E44/CARTÕES!$F44,0),ROUND(CARTÕES!$E44/CARTÕES!$F44,0)))</f>
        <v/>
      </c>
      <c r="AQ44" s="57">
        <f>IF(G44=0,0,IF(5=CARTÕES!$F44,CARTÕES!$E44-(CARTÕES!$F44-1)*ROUND(CARTÕES!$E44/CARTÕES!$F44,0),ROUND(CARTÕES!$E44/CARTÕES!$F44,0)))</f>
        <v/>
      </c>
      <c r="AR44" s="57">
        <f>IF(H44=0,0,IF(6=CARTÕES!$F44,CARTÕES!$E44-(CARTÕES!$F44-1)*ROUND(CARTÕES!$E44/CARTÕES!$F44,0),ROUND(CARTÕES!$E44/CARTÕES!$F44,0)))</f>
        <v/>
      </c>
      <c r="AS44" s="57">
        <f>IF(I44=0,0,IF(7=CARTÕES!$F44,CARTÕES!$E44-(CARTÕES!$F44-1)*ROUND(CARTÕES!$E44/CARTÕES!$F44,0),ROUND(CARTÕES!$E44/CARTÕES!$F44,0)))</f>
        <v/>
      </c>
      <c r="AT44" s="57">
        <f>IF(J44=0,0,IF(8=CARTÕES!$F44,CARTÕES!$E44-(CARTÕES!$F44-1)*ROUND(CARTÕES!$E44/CARTÕES!$F44,0),ROUND(CARTÕES!$E44/CARTÕES!$F44,0)))</f>
        <v/>
      </c>
      <c r="AU44" s="57">
        <f>IF(K44=0,0,IF(9=CARTÕES!$F44,CARTÕES!$E44-(CARTÕES!$F44-1)*ROUND(CARTÕES!$E44/CARTÕES!$F44,0),ROUND(CARTÕES!$E44/CARTÕES!$F44,0)))</f>
        <v/>
      </c>
      <c r="AV44" s="57">
        <f>IF(L44=0,0,IF(10=CARTÕES!$F44,CARTÕES!$E44-(CARTÕES!$F44-1)*ROUND(CARTÕES!$E44/CARTÕES!$F44,0),ROUND(CARTÕES!$E44/CARTÕES!$F44,0)))</f>
        <v/>
      </c>
      <c r="AW44" s="57">
        <f>IF(M44=0,0,IF(11=CARTÕES!$F44,CARTÕES!$E44-(CARTÕES!$F44-1)*ROUND(CARTÕES!$E44/CARTÕES!$F44,0),ROUND(CARTÕES!$E44/CARTÕES!$F44,0)))</f>
        <v/>
      </c>
      <c r="AX44" s="57">
        <f>IF(N44=0,0,IF(12=CARTÕES!$F44,CARTÕES!$E44-(CARTÕES!$F44-1)*ROUND(CARTÕES!$E44/CARTÕES!$F44,0),ROUND(CARTÕES!$E44/CARTÕES!$F44,0)))</f>
        <v/>
      </c>
      <c r="AY44" s="57">
        <f>IF(O44=0,0,IF(13=CARTÕES!$F44,CARTÕES!$E44-(CARTÕES!$F44-1)*ROUND(CARTÕES!$E44/CARTÕES!$F44,0),ROUND(CARTÕES!$E44/CARTÕES!$F44,0)))</f>
        <v/>
      </c>
      <c r="AZ44" s="57">
        <f>IF(P44=0,0,IF(14=CARTÕES!$F44,CARTÕES!$E44-(CARTÕES!$F44-1)*ROUND(CARTÕES!$E44/CARTÕES!$F44,0),ROUND(CARTÕES!$E44/CARTÕES!$F44,0)))</f>
        <v/>
      </c>
      <c r="BA44" s="57">
        <f>IF(Q44=0,0,IF(15=CARTÕES!$F44,CARTÕES!$E44-(CARTÕES!$F44-1)*ROUND(CARTÕES!$E44/CARTÕES!$F44,0),ROUND(CARTÕES!$E44/CARTÕES!$F44,0)))</f>
        <v/>
      </c>
      <c r="BB44" s="57">
        <f>IF(R44=0,0,IF(16=CARTÕES!$F44,CARTÕES!$E44-(CARTÕES!$F44-1)*ROUND(CARTÕES!$E44/CARTÕES!$F44,0),ROUND(CARTÕES!$E44/CARTÕES!$F44,0)))</f>
        <v/>
      </c>
      <c r="BC44" s="57">
        <f>IF(S44=0,0,IF(17=CARTÕES!$F44,CARTÕES!$E44-(CARTÕES!$F44-1)*ROUND(CARTÕES!$E44/CARTÕES!$F44,0),ROUND(CARTÕES!$E44/CARTÕES!$F44,0)))</f>
        <v/>
      </c>
      <c r="BD44" s="57">
        <f>IF(T44=0,0,IF(18=CARTÕES!$F44,CARTÕES!$E44-(CARTÕES!$F44-1)*ROUND(CARTÕES!$E44/CARTÕES!$F44,0),ROUND(CARTÕES!$E44/CARTÕES!$F44,0)))</f>
        <v/>
      </c>
      <c r="BE44" s="57">
        <f>IF(U44=0,0,IF(19=CARTÕES!$F44,CARTÕES!$E44-(CARTÕES!$F44-1)*ROUND(CARTÕES!$E44/CARTÕES!$F44,0),ROUND(CARTÕES!$E44/CARTÕES!$F44,0)))</f>
        <v/>
      </c>
      <c r="BF44" s="57">
        <f>IF(V44=0,0,IF(20=CARTÕES!$F44,CARTÕES!$E44-(CARTÕES!$F44-1)*ROUND(CARTÕES!$E44/CARTÕES!$F44,0),ROUND(CARTÕES!$E44/CARTÕES!$F44,0)))</f>
        <v/>
      </c>
      <c r="BG44" s="57">
        <f>IF(W44=0,0,IF(21=CARTÕES!$F44,CARTÕES!$E44-(CARTÕES!$F44-1)*ROUND(CARTÕES!$E44/CARTÕES!$F44,0),ROUND(CARTÕES!$E44/CARTÕES!$F44,0)))</f>
        <v/>
      </c>
      <c r="BH44" s="57">
        <f>IF(X44=0,0,IF(22=CARTÕES!$F44,CARTÕES!$E44-(CARTÕES!$F44-1)*ROUND(CARTÕES!$E44/CARTÕES!$F44,0),ROUND(CARTÕES!$E44/CARTÕES!$F44,0)))</f>
        <v/>
      </c>
      <c r="BI44" s="57">
        <f>IF(Y44=0,0,IF(23=CARTÕES!$F44,CARTÕES!$E44-(CARTÕES!$F44-1)*ROUND(CARTÕES!$E44/CARTÕES!$F44,0),ROUND(CARTÕES!$E44/CARTÕES!$F44,0)))</f>
        <v/>
      </c>
      <c r="BJ44" s="57">
        <f>IF(Z44=0,0,IF(24=CARTÕES!$F44,CARTÕES!$E44-(CARTÕES!$F44-1)*ROUND(CARTÕES!$E44/CARTÕES!$F44,0),ROUND(CARTÕES!$E44/CARTÕES!$F44,0)))</f>
        <v/>
      </c>
      <c r="BK44" s="57">
        <f>IF(AA44=0,0,IF(25=CARTÕES!$F44,CARTÕES!$E44-(CARTÕES!$F44-1)*ROUND(CARTÕES!$E44/CARTÕES!$F44,0),ROUND(CARTÕES!$E44/CARTÕES!$F44,0)))</f>
        <v/>
      </c>
      <c r="BL44" s="57">
        <f>IF(AB44=0,0,IF(26=CARTÕES!$F44,CARTÕES!$E44-(CARTÕES!$F44-1)*ROUND(CARTÕES!$E44/CARTÕES!$F44,0),ROUND(CARTÕES!$E44/CARTÕES!$F44,0)))</f>
        <v/>
      </c>
      <c r="BM44" s="57">
        <f>IF(AC44=0,0,IF(27=CARTÕES!$F44,CARTÕES!$E44-(CARTÕES!$F44-1)*ROUND(CARTÕES!$E44/CARTÕES!$F44,0),ROUND(CARTÕES!$E44/CARTÕES!$F44,0)))</f>
        <v/>
      </c>
      <c r="BN44" s="57">
        <f>IF(AD44=0,0,IF(28=CARTÕES!$F44,CARTÕES!$E44-(CARTÕES!$F44-1)*ROUND(CARTÕES!$E44/CARTÕES!$F44,0),ROUND(CARTÕES!$E44/CARTÕES!$F44,0)))</f>
        <v/>
      </c>
      <c r="BO44" s="57">
        <f>IF(AE44=0,0,IF(29=CARTÕES!$F44,CARTÕES!$E44-(CARTÕES!$F44-1)*ROUND(CARTÕES!$E44/CARTÕES!$F44,0),ROUND(CARTÕES!$E44/CARTÕES!$F44,0)))</f>
        <v/>
      </c>
      <c r="BP44" s="57">
        <f>IF(AF44=0,0,IF(30=CARTÕES!$F44,CARTÕES!$E44-(CARTÕES!$F44-1)*ROUND(CARTÕES!$E44/CARTÕES!$F44,0),ROUND(CARTÕES!$E44/CARTÕES!$F44,0)))</f>
        <v/>
      </c>
      <c r="BQ44" s="57">
        <f>IF(AG44=0,0,IF(31=CARTÕES!$F44,CARTÕES!$E44-(CARTÕES!$F44-1)*ROUND(CARTÕES!$E44/CARTÕES!$F44,0),ROUND(CARTÕES!$E44/CARTÕES!$F44,0)))</f>
        <v/>
      </c>
      <c r="BR44" s="57">
        <f>IF(AH44=0,0,IF(32=CARTÕES!$F44,CARTÕES!$E44-(CARTÕES!$F44-1)*ROUND(CARTÕES!$E44/CARTÕES!$F44,0),ROUND(CARTÕES!$E44/CARTÕES!$F44,0)))</f>
        <v/>
      </c>
      <c r="BS44" s="57">
        <f>IF(AI44=0,0,IF(33=CARTÕES!$F44,CARTÕES!$E44-(CARTÕES!$F44-1)*ROUND(CARTÕES!$E44/CARTÕES!$F44,0),ROUND(CARTÕES!$E44/CARTÕES!$F44,0)))</f>
        <v/>
      </c>
      <c r="BT44" s="57">
        <f>IF(AJ44=0,0,IF(34=CARTÕES!$F44,CARTÕES!$E44-(CARTÕES!$F44-1)*ROUND(CARTÕES!$E44/CARTÕES!$F44,0),ROUND(CARTÕES!$E44/CARTÕES!$F44,0)))</f>
        <v/>
      </c>
      <c r="BU44" s="57">
        <f>IF(AK44=0,0,IF(35=CARTÕES!$F44,CARTÕES!$E44-(CARTÕES!$F44-1)*ROUND(CARTÕES!$E44/CARTÕES!$F44,0),ROUND(CARTÕES!$E44/CARTÕES!$F44,0)))</f>
        <v/>
      </c>
      <c r="BV44" s="57">
        <f>IF(AL44=0,0,IF(36=CARTÕES!$F44,CARTÕES!$E44-(CARTÕES!$F44-1)*ROUND(CARTÕES!$E44/CARTÕES!$F44,0),ROUND(CARTÕES!$E44/CARTÕES!$F44,0)))</f>
        <v/>
      </c>
    </row>
    <row r="45">
      <c r="A45" s="55">
        <f>IF(CARTÕES!$C45="","",CARTÕES!$C45)</f>
        <v/>
      </c>
      <c r="B45" s="56">
        <f>SUMPRODUCT((C45:AL45='RESUMO MENSAL'!$C$4)*AM45:BV45)</f>
        <v/>
      </c>
      <c r="C45" s="57">
        <f>IF(OR(CARTÕES!$K45=0,CARTÕES!$F45=""),0,IF(1&gt;CARTÕES!$F45,0,CARTÕES!$K45+1-1))</f>
        <v/>
      </c>
      <c r="D45" s="57">
        <f>IF(OR(CARTÕES!$K45=0,CARTÕES!$F45=""),0,IF(2&gt;CARTÕES!$F45,0,CARTÕES!$K45+2-1))</f>
        <v/>
      </c>
      <c r="E45" s="57">
        <f>IF(OR(CARTÕES!$K45=0,CARTÕES!$F45=""),0,IF(3&gt;CARTÕES!$F45,0,CARTÕES!$K45+3-1))</f>
        <v/>
      </c>
      <c r="F45" s="57">
        <f>IF(OR(CARTÕES!$K45=0,CARTÕES!$F45=""),0,IF(4&gt;CARTÕES!$F45,0,CARTÕES!$K45+4-1))</f>
        <v/>
      </c>
      <c r="G45" s="57">
        <f>IF(OR(CARTÕES!$K45=0,CARTÕES!$F45=""),0,IF(5&gt;CARTÕES!$F45,0,CARTÕES!$K45+5-1))</f>
        <v/>
      </c>
      <c r="H45" s="57">
        <f>IF(OR(CARTÕES!$K45=0,CARTÕES!$F45=""),0,IF(6&gt;CARTÕES!$F45,0,CARTÕES!$K45+6-1))</f>
        <v/>
      </c>
      <c r="I45" s="57">
        <f>IF(OR(CARTÕES!$K45=0,CARTÕES!$F45=""),0,IF(7&gt;CARTÕES!$F45,0,CARTÕES!$K45+7-1))</f>
        <v/>
      </c>
      <c r="J45" s="57">
        <f>IF(OR(CARTÕES!$K45=0,CARTÕES!$F45=""),0,IF(8&gt;CARTÕES!$F45,0,CARTÕES!$K45+8-1))</f>
        <v/>
      </c>
      <c r="K45" s="57">
        <f>IF(OR(CARTÕES!$K45=0,CARTÕES!$F45=""),0,IF(9&gt;CARTÕES!$F45,0,CARTÕES!$K45+9-1))</f>
        <v/>
      </c>
      <c r="L45" s="57">
        <f>IF(OR(CARTÕES!$K45=0,CARTÕES!$F45=""),0,IF(10&gt;CARTÕES!$F45,0,CARTÕES!$K45+10-1))</f>
        <v/>
      </c>
      <c r="M45" s="57">
        <f>IF(OR(CARTÕES!$K45=0,CARTÕES!$F45=""),0,IF(11&gt;CARTÕES!$F45,0,CARTÕES!$K45+11-1))</f>
        <v/>
      </c>
      <c r="N45" s="57">
        <f>IF(OR(CARTÕES!$K45=0,CARTÕES!$F45=""),0,IF(12&gt;CARTÕES!$F45,0,CARTÕES!$K45+12-1))</f>
        <v/>
      </c>
      <c r="O45" s="57">
        <f>IF(OR(CARTÕES!$K45=0,CARTÕES!$F45=""),0,IF(13&gt;CARTÕES!$F45,0,CARTÕES!$K45+13-1))</f>
        <v/>
      </c>
      <c r="P45" s="57">
        <f>IF(OR(CARTÕES!$K45=0,CARTÕES!$F45=""),0,IF(14&gt;CARTÕES!$F45,0,CARTÕES!$K45+14-1))</f>
        <v/>
      </c>
      <c r="Q45" s="57">
        <f>IF(OR(CARTÕES!$K45=0,CARTÕES!$F45=""),0,IF(15&gt;CARTÕES!$F45,0,CARTÕES!$K45+15-1))</f>
        <v/>
      </c>
      <c r="R45" s="57">
        <f>IF(OR(CARTÕES!$K45=0,CARTÕES!$F45=""),0,IF(16&gt;CARTÕES!$F45,0,CARTÕES!$K45+16-1))</f>
        <v/>
      </c>
      <c r="S45" s="57">
        <f>IF(OR(CARTÕES!$K45=0,CARTÕES!$F45=""),0,IF(17&gt;CARTÕES!$F45,0,CARTÕES!$K45+17-1))</f>
        <v/>
      </c>
      <c r="T45" s="57">
        <f>IF(OR(CARTÕES!$K45=0,CARTÕES!$F45=""),0,IF(18&gt;CARTÕES!$F45,0,CARTÕES!$K45+18-1))</f>
        <v/>
      </c>
      <c r="U45" s="57">
        <f>IF(OR(CARTÕES!$K45=0,CARTÕES!$F45=""),0,IF(19&gt;CARTÕES!$F45,0,CARTÕES!$K45+19-1))</f>
        <v/>
      </c>
      <c r="V45" s="57">
        <f>IF(OR(CARTÕES!$K45=0,CARTÕES!$F45=""),0,IF(20&gt;CARTÕES!$F45,0,CARTÕES!$K45+20-1))</f>
        <v/>
      </c>
      <c r="W45" s="57">
        <f>IF(OR(CARTÕES!$K45=0,CARTÕES!$F45=""),0,IF(21&gt;CARTÕES!$F45,0,CARTÕES!$K45+21-1))</f>
        <v/>
      </c>
      <c r="X45" s="57">
        <f>IF(OR(CARTÕES!$K45=0,CARTÕES!$F45=""),0,IF(22&gt;CARTÕES!$F45,0,CARTÕES!$K45+22-1))</f>
        <v/>
      </c>
      <c r="Y45" s="57">
        <f>IF(OR(CARTÕES!$K45=0,CARTÕES!$F45=""),0,IF(23&gt;CARTÕES!$F45,0,CARTÕES!$K45+23-1))</f>
        <v/>
      </c>
      <c r="Z45" s="57">
        <f>IF(OR(CARTÕES!$K45=0,CARTÕES!$F45=""),0,IF(24&gt;CARTÕES!$F45,0,CARTÕES!$K45+24-1))</f>
        <v/>
      </c>
      <c r="AA45" s="57">
        <f>IF(OR(CARTÕES!$K45=0,CARTÕES!$F45=""),0,IF(25&gt;CARTÕES!$F45,0,CARTÕES!$K45+25-1))</f>
        <v/>
      </c>
      <c r="AB45" s="57">
        <f>IF(OR(CARTÕES!$K45=0,CARTÕES!$F45=""),0,IF(26&gt;CARTÕES!$F45,0,CARTÕES!$K45+26-1))</f>
        <v/>
      </c>
      <c r="AC45" s="57">
        <f>IF(OR(CARTÕES!$K45=0,CARTÕES!$F45=""),0,IF(27&gt;CARTÕES!$F45,0,CARTÕES!$K45+27-1))</f>
        <v/>
      </c>
      <c r="AD45" s="57">
        <f>IF(OR(CARTÕES!$K45=0,CARTÕES!$F45=""),0,IF(28&gt;CARTÕES!$F45,0,CARTÕES!$K45+28-1))</f>
        <v/>
      </c>
      <c r="AE45" s="57">
        <f>IF(OR(CARTÕES!$K45=0,CARTÕES!$F45=""),0,IF(29&gt;CARTÕES!$F45,0,CARTÕES!$K45+29-1))</f>
        <v/>
      </c>
      <c r="AF45" s="57">
        <f>IF(OR(CARTÕES!$K45=0,CARTÕES!$F45=""),0,IF(30&gt;CARTÕES!$F45,0,CARTÕES!$K45+30-1))</f>
        <v/>
      </c>
      <c r="AG45" s="57">
        <f>IF(OR(CARTÕES!$K45=0,CARTÕES!$F45=""),0,IF(31&gt;CARTÕES!$F45,0,CARTÕES!$K45+31-1))</f>
        <v/>
      </c>
      <c r="AH45" s="57">
        <f>IF(OR(CARTÕES!$K45=0,CARTÕES!$F45=""),0,IF(32&gt;CARTÕES!$F45,0,CARTÕES!$K45+32-1))</f>
        <v/>
      </c>
      <c r="AI45" s="57">
        <f>IF(OR(CARTÕES!$K45=0,CARTÕES!$F45=""),0,IF(33&gt;CARTÕES!$F45,0,CARTÕES!$K45+33-1))</f>
        <v/>
      </c>
      <c r="AJ45" s="57">
        <f>IF(OR(CARTÕES!$K45=0,CARTÕES!$F45=""),0,IF(34&gt;CARTÕES!$F45,0,CARTÕES!$K45+34-1))</f>
        <v/>
      </c>
      <c r="AK45" s="57">
        <f>IF(OR(CARTÕES!$K45=0,CARTÕES!$F45=""),0,IF(35&gt;CARTÕES!$F45,0,CARTÕES!$K45+35-1))</f>
        <v/>
      </c>
      <c r="AL45" s="57">
        <f>IF(OR(CARTÕES!$K45=0,CARTÕES!$F45=""),0,IF(36&gt;CARTÕES!$F45,0,CARTÕES!$K45+36-1))</f>
        <v/>
      </c>
      <c r="AM45" s="57">
        <f>IF(C45=0,0,IF(1=CARTÕES!$F45,CARTÕES!$E45-(CARTÕES!$F45-1)*ROUND(CARTÕES!$E45/CARTÕES!$F45,0),ROUND(CARTÕES!$E45/CARTÕES!$F45,0)))</f>
        <v/>
      </c>
      <c r="AN45" s="57">
        <f>IF(D45=0,0,IF(2=CARTÕES!$F45,CARTÕES!$E45-(CARTÕES!$F45-1)*ROUND(CARTÕES!$E45/CARTÕES!$F45,0),ROUND(CARTÕES!$E45/CARTÕES!$F45,0)))</f>
        <v/>
      </c>
      <c r="AO45" s="57">
        <f>IF(E45=0,0,IF(3=CARTÕES!$F45,CARTÕES!$E45-(CARTÕES!$F45-1)*ROUND(CARTÕES!$E45/CARTÕES!$F45,0),ROUND(CARTÕES!$E45/CARTÕES!$F45,0)))</f>
        <v/>
      </c>
      <c r="AP45" s="57">
        <f>IF(F45=0,0,IF(4=CARTÕES!$F45,CARTÕES!$E45-(CARTÕES!$F45-1)*ROUND(CARTÕES!$E45/CARTÕES!$F45,0),ROUND(CARTÕES!$E45/CARTÕES!$F45,0)))</f>
        <v/>
      </c>
      <c r="AQ45" s="57">
        <f>IF(G45=0,0,IF(5=CARTÕES!$F45,CARTÕES!$E45-(CARTÕES!$F45-1)*ROUND(CARTÕES!$E45/CARTÕES!$F45,0),ROUND(CARTÕES!$E45/CARTÕES!$F45,0)))</f>
        <v/>
      </c>
      <c r="AR45" s="57">
        <f>IF(H45=0,0,IF(6=CARTÕES!$F45,CARTÕES!$E45-(CARTÕES!$F45-1)*ROUND(CARTÕES!$E45/CARTÕES!$F45,0),ROUND(CARTÕES!$E45/CARTÕES!$F45,0)))</f>
        <v/>
      </c>
      <c r="AS45" s="57">
        <f>IF(I45=0,0,IF(7=CARTÕES!$F45,CARTÕES!$E45-(CARTÕES!$F45-1)*ROUND(CARTÕES!$E45/CARTÕES!$F45,0),ROUND(CARTÕES!$E45/CARTÕES!$F45,0)))</f>
        <v/>
      </c>
      <c r="AT45" s="57">
        <f>IF(J45=0,0,IF(8=CARTÕES!$F45,CARTÕES!$E45-(CARTÕES!$F45-1)*ROUND(CARTÕES!$E45/CARTÕES!$F45,0),ROUND(CARTÕES!$E45/CARTÕES!$F45,0)))</f>
        <v/>
      </c>
      <c r="AU45" s="57">
        <f>IF(K45=0,0,IF(9=CARTÕES!$F45,CARTÕES!$E45-(CARTÕES!$F45-1)*ROUND(CARTÕES!$E45/CARTÕES!$F45,0),ROUND(CARTÕES!$E45/CARTÕES!$F45,0)))</f>
        <v/>
      </c>
      <c r="AV45" s="57">
        <f>IF(L45=0,0,IF(10=CARTÕES!$F45,CARTÕES!$E45-(CARTÕES!$F45-1)*ROUND(CARTÕES!$E45/CARTÕES!$F45,0),ROUND(CARTÕES!$E45/CARTÕES!$F45,0)))</f>
        <v/>
      </c>
      <c r="AW45" s="57">
        <f>IF(M45=0,0,IF(11=CARTÕES!$F45,CARTÕES!$E45-(CARTÕES!$F45-1)*ROUND(CARTÕES!$E45/CARTÕES!$F45,0),ROUND(CARTÕES!$E45/CARTÕES!$F45,0)))</f>
        <v/>
      </c>
      <c r="AX45" s="57">
        <f>IF(N45=0,0,IF(12=CARTÕES!$F45,CARTÕES!$E45-(CARTÕES!$F45-1)*ROUND(CARTÕES!$E45/CARTÕES!$F45,0),ROUND(CARTÕES!$E45/CARTÕES!$F45,0)))</f>
        <v/>
      </c>
      <c r="AY45" s="57">
        <f>IF(O45=0,0,IF(13=CARTÕES!$F45,CARTÕES!$E45-(CARTÕES!$F45-1)*ROUND(CARTÕES!$E45/CARTÕES!$F45,0),ROUND(CARTÕES!$E45/CARTÕES!$F45,0)))</f>
        <v/>
      </c>
      <c r="AZ45" s="57">
        <f>IF(P45=0,0,IF(14=CARTÕES!$F45,CARTÕES!$E45-(CARTÕES!$F45-1)*ROUND(CARTÕES!$E45/CARTÕES!$F45,0),ROUND(CARTÕES!$E45/CARTÕES!$F45,0)))</f>
        <v/>
      </c>
      <c r="BA45" s="57">
        <f>IF(Q45=0,0,IF(15=CARTÕES!$F45,CARTÕES!$E45-(CARTÕES!$F45-1)*ROUND(CARTÕES!$E45/CARTÕES!$F45,0),ROUND(CARTÕES!$E45/CARTÕES!$F45,0)))</f>
        <v/>
      </c>
      <c r="BB45" s="57">
        <f>IF(R45=0,0,IF(16=CARTÕES!$F45,CARTÕES!$E45-(CARTÕES!$F45-1)*ROUND(CARTÕES!$E45/CARTÕES!$F45,0),ROUND(CARTÕES!$E45/CARTÕES!$F45,0)))</f>
        <v/>
      </c>
      <c r="BC45" s="57">
        <f>IF(S45=0,0,IF(17=CARTÕES!$F45,CARTÕES!$E45-(CARTÕES!$F45-1)*ROUND(CARTÕES!$E45/CARTÕES!$F45,0),ROUND(CARTÕES!$E45/CARTÕES!$F45,0)))</f>
        <v/>
      </c>
      <c r="BD45" s="57">
        <f>IF(T45=0,0,IF(18=CARTÕES!$F45,CARTÕES!$E45-(CARTÕES!$F45-1)*ROUND(CARTÕES!$E45/CARTÕES!$F45,0),ROUND(CARTÕES!$E45/CARTÕES!$F45,0)))</f>
        <v/>
      </c>
      <c r="BE45" s="57">
        <f>IF(U45=0,0,IF(19=CARTÕES!$F45,CARTÕES!$E45-(CARTÕES!$F45-1)*ROUND(CARTÕES!$E45/CARTÕES!$F45,0),ROUND(CARTÕES!$E45/CARTÕES!$F45,0)))</f>
        <v/>
      </c>
      <c r="BF45" s="57">
        <f>IF(V45=0,0,IF(20=CARTÕES!$F45,CARTÕES!$E45-(CARTÕES!$F45-1)*ROUND(CARTÕES!$E45/CARTÕES!$F45,0),ROUND(CARTÕES!$E45/CARTÕES!$F45,0)))</f>
        <v/>
      </c>
      <c r="BG45" s="57">
        <f>IF(W45=0,0,IF(21=CARTÕES!$F45,CARTÕES!$E45-(CARTÕES!$F45-1)*ROUND(CARTÕES!$E45/CARTÕES!$F45,0),ROUND(CARTÕES!$E45/CARTÕES!$F45,0)))</f>
        <v/>
      </c>
      <c r="BH45" s="57">
        <f>IF(X45=0,0,IF(22=CARTÕES!$F45,CARTÕES!$E45-(CARTÕES!$F45-1)*ROUND(CARTÕES!$E45/CARTÕES!$F45,0),ROUND(CARTÕES!$E45/CARTÕES!$F45,0)))</f>
        <v/>
      </c>
      <c r="BI45" s="57">
        <f>IF(Y45=0,0,IF(23=CARTÕES!$F45,CARTÕES!$E45-(CARTÕES!$F45-1)*ROUND(CARTÕES!$E45/CARTÕES!$F45,0),ROUND(CARTÕES!$E45/CARTÕES!$F45,0)))</f>
        <v/>
      </c>
      <c r="BJ45" s="57">
        <f>IF(Z45=0,0,IF(24=CARTÕES!$F45,CARTÕES!$E45-(CARTÕES!$F45-1)*ROUND(CARTÕES!$E45/CARTÕES!$F45,0),ROUND(CARTÕES!$E45/CARTÕES!$F45,0)))</f>
        <v/>
      </c>
      <c r="BK45" s="57">
        <f>IF(AA45=0,0,IF(25=CARTÕES!$F45,CARTÕES!$E45-(CARTÕES!$F45-1)*ROUND(CARTÕES!$E45/CARTÕES!$F45,0),ROUND(CARTÕES!$E45/CARTÕES!$F45,0)))</f>
        <v/>
      </c>
      <c r="BL45" s="57">
        <f>IF(AB45=0,0,IF(26=CARTÕES!$F45,CARTÕES!$E45-(CARTÕES!$F45-1)*ROUND(CARTÕES!$E45/CARTÕES!$F45,0),ROUND(CARTÕES!$E45/CARTÕES!$F45,0)))</f>
        <v/>
      </c>
      <c r="BM45" s="57">
        <f>IF(AC45=0,0,IF(27=CARTÕES!$F45,CARTÕES!$E45-(CARTÕES!$F45-1)*ROUND(CARTÕES!$E45/CARTÕES!$F45,0),ROUND(CARTÕES!$E45/CARTÕES!$F45,0)))</f>
        <v/>
      </c>
      <c r="BN45" s="57">
        <f>IF(AD45=0,0,IF(28=CARTÕES!$F45,CARTÕES!$E45-(CARTÕES!$F45-1)*ROUND(CARTÕES!$E45/CARTÕES!$F45,0),ROUND(CARTÕES!$E45/CARTÕES!$F45,0)))</f>
        <v/>
      </c>
      <c r="BO45" s="57">
        <f>IF(AE45=0,0,IF(29=CARTÕES!$F45,CARTÕES!$E45-(CARTÕES!$F45-1)*ROUND(CARTÕES!$E45/CARTÕES!$F45,0),ROUND(CARTÕES!$E45/CARTÕES!$F45,0)))</f>
        <v/>
      </c>
      <c r="BP45" s="57">
        <f>IF(AF45=0,0,IF(30=CARTÕES!$F45,CARTÕES!$E45-(CARTÕES!$F45-1)*ROUND(CARTÕES!$E45/CARTÕES!$F45,0),ROUND(CARTÕES!$E45/CARTÕES!$F45,0)))</f>
        <v/>
      </c>
      <c r="BQ45" s="57">
        <f>IF(AG45=0,0,IF(31=CARTÕES!$F45,CARTÕES!$E45-(CARTÕES!$F45-1)*ROUND(CARTÕES!$E45/CARTÕES!$F45,0),ROUND(CARTÕES!$E45/CARTÕES!$F45,0)))</f>
        <v/>
      </c>
      <c r="BR45" s="57">
        <f>IF(AH45=0,0,IF(32=CARTÕES!$F45,CARTÕES!$E45-(CARTÕES!$F45-1)*ROUND(CARTÕES!$E45/CARTÕES!$F45,0),ROUND(CARTÕES!$E45/CARTÕES!$F45,0)))</f>
        <v/>
      </c>
      <c r="BS45" s="57">
        <f>IF(AI45=0,0,IF(33=CARTÕES!$F45,CARTÕES!$E45-(CARTÕES!$F45-1)*ROUND(CARTÕES!$E45/CARTÕES!$F45,0),ROUND(CARTÕES!$E45/CARTÕES!$F45,0)))</f>
        <v/>
      </c>
      <c r="BT45" s="57">
        <f>IF(AJ45=0,0,IF(34=CARTÕES!$F45,CARTÕES!$E45-(CARTÕES!$F45-1)*ROUND(CARTÕES!$E45/CARTÕES!$F45,0),ROUND(CARTÕES!$E45/CARTÕES!$F45,0)))</f>
        <v/>
      </c>
      <c r="BU45" s="57">
        <f>IF(AK45=0,0,IF(35=CARTÕES!$F45,CARTÕES!$E45-(CARTÕES!$F45-1)*ROUND(CARTÕES!$E45/CARTÕES!$F45,0),ROUND(CARTÕES!$E45/CARTÕES!$F45,0)))</f>
        <v/>
      </c>
      <c r="BV45" s="57">
        <f>IF(AL45=0,0,IF(36=CARTÕES!$F45,CARTÕES!$E45-(CARTÕES!$F45-1)*ROUND(CARTÕES!$E45/CARTÕES!$F45,0),ROUND(CARTÕES!$E45/CARTÕES!$F45,0)))</f>
        <v/>
      </c>
    </row>
    <row r="46">
      <c r="A46" s="55">
        <f>IF(CARTÕES!$C46="","",CARTÕES!$C46)</f>
        <v/>
      </c>
      <c r="B46" s="56">
        <f>SUMPRODUCT((C46:AL46='RESUMO MENSAL'!$C$4)*AM46:BV46)</f>
        <v/>
      </c>
      <c r="C46" s="57">
        <f>IF(OR(CARTÕES!$K46=0,CARTÕES!$F46=""),0,IF(1&gt;CARTÕES!$F46,0,CARTÕES!$K46+1-1))</f>
        <v/>
      </c>
      <c r="D46" s="57">
        <f>IF(OR(CARTÕES!$K46=0,CARTÕES!$F46=""),0,IF(2&gt;CARTÕES!$F46,0,CARTÕES!$K46+2-1))</f>
        <v/>
      </c>
      <c r="E46" s="57">
        <f>IF(OR(CARTÕES!$K46=0,CARTÕES!$F46=""),0,IF(3&gt;CARTÕES!$F46,0,CARTÕES!$K46+3-1))</f>
        <v/>
      </c>
      <c r="F46" s="57">
        <f>IF(OR(CARTÕES!$K46=0,CARTÕES!$F46=""),0,IF(4&gt;CARTÕES!$F46,0,CARTÕES!$K46+4-1))</f>
        <v/>
      </c>
      <c r="G46" s="57">
        <f>IF(OR(CARTÕES!$K46=0,CARTÕES!$F46=""),0,IF(5&gt;CARTÕES!$F46,0,CARTÕES!$K46+5-1))</f>
        <v/>
      </c>
      <c r="H46" s="57">
        <f>IF(OR(CARTÕES!$K46=0,CARTÕES!$F46=""),0,IF(6&gt;CARTÕES!$F46,0,CARTÕES!$K46+6-1))</f>
        <v/>
      </c>
      <c r="I46" s="57">
        <f>IF(OR(CARTÕES!$K46=0,CARTÕES!$F46=""),0,IF(7&gt;CARTÕES!$F46,0,CARTÕES!$K46+7-1))</f>
        <v/>
      </c>
      <c r="J46" s="57">
        <f>IF(OR(CARTÕES!$K46=0,CARTÕES!$F46=""),0,IF(8&gt;CARTÕES!$F46,0,CARTÕES!$K46+8-1))</f>
        <v/>
      </c>
      <c r="K46" s="57">
        <f>IF(OR(CARTÕES!$K46=0,CARTÕES!$F46=""),0,IF(9&gt;CARTÕES!$F46,0,CARTÕES!$K46+9-1))</f>
        <v/>
      </c>
      <c r="L46" s="57">
        <f>IF(OR(CARTÕES!$K46=0,CARTÕES!$F46=""),0,IF(10&gt;CARTÕES!$F46,0,CARTÕES!$K46+10-1))</f>
        <v/>
      </c>
      <c r="M46" s="57">
        <f>IF(OR(CARTÕES!$K46=0,CARTÕES!$F46=""),0,IF(11&gt;CARTÕES!$F46,0,CARTÕES!$K46+11-1))</f>
        <v/>
      </c>
      <c r="N46" s="57">
        <f>IF(OR(CARTÕES!$K46=0,CARTÕES!$F46=""),0,IF(12&gt;CARTÕES!$F46,0,CARTÕES!$K46+12-1))</f>
        <v/>
      </c>
      <c r="O46" s="57">
        <f>IF(OR(CARTÕES!$K46=0,CARTÕES!$F46=""),0,IF(13&gt;CARTÕES!$F46,0,CARTÕES!$K46+13-1))</f>
        <v/>
      </c>
      <c r="P46" s="57">
        <f>IF(OR(CARTÕES!$K46=0,CARTÕES!$F46=""),0,IF(14&gt;CARTÕES!$F46,0,CARTÕES!$K46+14-1))</f>
        <v/>
      </c>
      <c r="Q46" s="57">
        <f>IF(OR(CARTÕES!$K46=0,CARTÕES!$F46=""),0,IF(15&gt;CARTÕES!$F46,0,CARTÕES!$K46+15-1))</f>
        <v/>
      </c>
      <c r="R46" s="57">
        <f>IF(OR(CARTÕES!$K46=0,CARTÕES!$F46=""),0,IF(16&gt;CARTÕES!$F46,0,CARTÕES!$K46+16-1))</f>
        <v/>
      </c>
      <c r="S46" s="57">
        <f>IF(OR(CARTÕES!$K46=0,CARTÕES!$F46=""),0,IF(17&gt;CARTÕES!$F46,0,CARTÕES!$K46+17-1))</f>
        <v/>
      </c>
      <c r="T46" s="57">
        <f>IF(OR(CARTÕES!$K46=0,CARTÕES!$F46=""),0,IF(18&gt;CARTÕES!$F46,0,CARTÕES!$K46+18-1))</f>
        <v/>
      </c>
      <c r="U46" s="57">
        <f>IF(OR(CARTÕES!$K46=0,CARTÕES!$F46=""),0,IF(19&gt;CARTÕES!$F46,0,CARTÕES!$K46+19-1))</f>
        <v/>
      </c>
      <c r="V46" s="57">
        <f>IF(OR(CARTÕES!$K46=0,CARTÕES!$F46=""),0,IF(20&gt;CARTÕES!$F46,0,CARTÕES!$K46+20-1))</f>
        <v/>
      </c>
      <c r="W46" s="57">
        <f>IF(OR(CARTÕES!$K46=0,CARTÕES!$F46=""),0,IF(21&gt;CARTÕES!$F46,0,CARTÕES!$K46+21-1))</f>
        <v/>
      </c>
      <c r="X46" s="57">
        <f>IF(OR(CARTÕES!$K46=0,CARTÕES!$F46=""),0,IF(22&gt;CARTÕES!$F46,0,CARTÕES!$K46+22-1))</f>
        <v/>
      </c>
      <c r="Y46" s="57">
        <f>IF(OR(CARTÕES!$K46=0,CARTÕES!$F46=""),0,IF(23&gt;CARTÕES!$F46,0,CARTÕES!$K46+23-1))</f>
        <v/>
      </c>
      <c r="Z46" s="57">
        <f>IF(OR(CARTÕES!$K46=0,CARTÕES!$F46=""),0,IF(24&gt;CARTÕES!$F46,0,CARTÕES!$K46+24-1))</f>
        <v/>
      </c>
      <c r="AA46" s="57">
        <f>IF(OR(CARTÕES!$K46=0,CARTÕES!$F46=""),0,IF(25&gt;CARTÕES!$F46,0,CARTÕES!$K46+25-1))</f>
        <v/>
      </c>
      <c r="AB46" s="57">
        <f>IF(OR(CARTÕES!$K46=0,CARTÕES!$F46=""),0,IF(26&gt;CARTÕES!$F46,0,CARTÕES!$K46+26-1))</f>
        <v/>
      </c>
      <c r="AC46" s="57">
        <f>IF(OR(CARTÕES!$K46=0,CARTÕES!$F46=""),0,IF(27&gt;CARTÕES!$F46,0,CARTÕES!$K46+27-1))</f>
        <v/>
      </c>
      <c r="AD46" s="57">
        <f>IF(OR(CARTÕES!$K46=0,CARTÕES!$F46=""),0,IF(28&gt;CARTÕES!$F46,0,CARTÕES!$K46+28-1))</f>
        <v/>
      </c>
      <c r="AE46" s="57">
        <f>IF(OR(CARTÕES!$K46=0,CARTÕES!$F46=""),0,IF(29&gt;CARTÕES!$F46,0,CARTÕES!$K46+29-1))</f>
        <v/>
      </c>
      <c r="AF46" s="57">
        <f>IF(OR(CARTÕES!$K46=0,CARTÕES!$F46=""),0,IF(30&gt;CARTÕES!$F46,0,CARTÕES!$K46+30-1))</f>
        <v/>
      </c>
      <c r="AG46" s="57">
        <f>IF(OR(CARTÕES!$K46=0,CARTÕES!$F46=""),0,IF(31&gt;CARTÕES!$F46,0,CARTÕES!$K46+31-1))</f>
        <v/>
      </c>
      <c r="AH46" s="57">
        <f>IF(OR(CARTÕES!$K46=0,CARTÕES!$F46=""),0,IF(32&gt;CARTÕES!$F46,0,CARTÕES!$K46+32-1))</f>
        <v/>
      </c>
      <c r="AI46" s="57">
        <f>IF(OR(CARTÕES!$K46=0,CARTÕES!$F46=""),0,IF(33&gt;CARTÕES!$F46,0,CARTÕES!$K46+33-1))</f>
        <v/>
      </c>
      <c r="AJ46" s="57">
        <f>IF(OR(CARTÕES!$K46=0,CARTÕES!$F46=""),0,IF(34&gt;CARTÕES!$F46,0,CARTÕES!$K46+34-1))</f>
        <v/>
      </c>
      <c r="AK46" s="57">
        <f>IF(OR(CARTÕES!$K46=0,CARTÕES!$F46=""),0,IF(35&gt;CARTÕES!$F46,0,CARTÕES!$K46+35-1))</f>
        <v/>
      </c>
      <c r="AL46" s="57">
        <f>IF(OR(CARTÕES!$K46=0,CARTÕES!$F46=""),0,IF(36&gt;CARTÕES!$F46,0,CARTÕES!$K46+36-1))</f>
        <v/>
      </c>
      <c r="AM46" s="57">
        <f>IF(C46=0,0,IF(1=CARTÕES!$F46,CARTÕES!$E46-(CARTÕES!$F46-1)*ROUND(CARTÕES!$E46/CARTÕES!$F46,0),ROUND(CARTÕES!$E46/CARTÕES!$F46,0)))</f>
        <v/>
      </c>
      <c r="AN46" s="57">
        <f>IF(D46=0,0,IF(2=CARTÕES!$F46,CARTÕES!$E46-(CARTÕES!$F46-1)*ROUND(CARTÕES!$E46/CARTÕES!$F46,0),ROUND(CARTÕES!$E46/CARTÕES!$F46,0)))</f>
        <v/>
      </c>
      <c r="AO46" s="57">
        <f>IF(E46=0,0,IF(3=CARTÕES!$F46,CARTÕES!$E46-(CARTÕES!$F46-1)*ROUND(CARTÕES!$E46/CARTÕES!$F46,0),ROUND(CARTÕES!$E46/CARTÕES!$F46,0)))</f>
        <v/>
      </c>
      <c r="AP46" s="57">
        <f>IF(F46=0,0,IF(4=CARTÕES!$F46,CARTÕES!$E46-(CARTÕES!$F46-1)*ROUND(CARTÕES!$E46/CARTÕES!$F46,0),ROUND(CARTÕES!$E46/CARTÕES!$F46,0)))</f>
        <v/>
      </c>
      <c r="AQ46" s="57">
        <f>IF(G46=0,0,IF(5=CARTÕES!$F46,CARTÕES!$E46-(CARTÕES!$F46-1)*ROUND(CARTÕES!$E46/CARTÕES!$F46,0),ROUND(CARTÕES!$E46/CARTÕES!$F46,0)))</f>
        <v/>
      </c>
      <c r="AR46" s="57">
        <f>IF(H46=0,0,IF(6=CARTÕES!$F46,CARTÕES!$E46-(CARTÕES!$F46-1)*ROUND(CARTÕES!$E46/CARTÕES!$F46,0),ROUND(CARTÕES!$E46/CARTÕES!$F46,0)))</f>
        <v/>
      </c>
      <c r="AS46" s="57">
        <f>IF(I46=0,0,IF(7=CARTÕES!$F46,CARTÕES!$E46-(CARTÕES!$F46-1)*ROUND(CARTÕES!$E46/CARTÕES!$F46,0),ROUND(CARTÕES!$E46/CARTÕES!$F46,0)))</f>
        <v/>
      </c>
      <c r="AT46" s="57">
        <f>IF(J46=0,0,IF(8=CARTÕES!$F46,CARTÕES!$E46-(CARTÕES!$F46-1)*ROUND(CARTÕES!$E46/CARTÕES!$F46,0),ROUND(CARTÕES!$E46/CARTÕES!$F46,0)))</f>
        <v/>
      </c>
      <c r="AU46" s="57">
        <f>IF(K46=0,0,IF(9=CARTÕES!$F46,CARTÕES!$E46-(CARTÕES!$F46-1)*ROUND(CARTÕES!$E46/CARTÕES!$F46,0),ROUND(CARTÕES!$E46/CARTÕES!$F46,0)))</f>
        <v/>
      </c>
      <c r="AV46" s="57">
        <f>IF(L46=0,0,IF(10=CARTÕES!$F46,CARTÕES!$E46-(CARTÕES!$F46-1)*ROUND(CARTÕES!$E46/CARTÕES!$F46,0),ROUND(CARTÕES!$E46/CARTÕES!$F46,0)))</f>
        <v/>
      </c>
      <c r="AW46" s="57">
        <f>IF(M46=0,0,IF(11=CARTÕES!$F46,CARTÕES!$E46-(CARTÕES!$F46-1)*ROUND(CARTÕES!$E46/CARTÕES!$F46,0),ROUND(CARTÕES!$E46/CARTÕES!$F46,0)))</f>
        <v/>
      </c>
      <c r="AX46" s="57">
        <f>IF(N46=0,0,IF(12=CARTÕES!$F46,CARTÕES!$E46-(CARTÕES!$F46-1)*ROUND(CARTÕES!$E46/CARTÕES!$F46,0),ROUND(CARTÕES!$E46/CARTÕES!$F46,0)))</f>
        <v/>
      </c>
      <c r="AY46" s="57">
        <f>IF(O46=0,0,IF(13=CARTÕES!$F46,CARTÕES!$E46-(CARTÕES!$F46-1)*ROUND(CARTÕES!$E46/CARTÕES!$F46,0),ROUND(CARTÕES!$E46/CARTÕES!$F46,0)))</f>
        <v/>
      </c>
      <c r="AZ46" s="57">
        <f>IF(P46=0,0,IF(14=CARTÕES!$F46,CARTÕES!$E46-(CARTÕES!$F46-1)*ROUND(CARTÕES!$E46/CARTÕES!$F46,0),ROUND(CARTÕES!$E46/CARTÕES!$F46,0)))</f>
        <v/>
      </c>
      <c r="BA46" s="57">
        <f>IF(Q46=0,0,IF(15=CARTÕES!$F46,CARTÕES!$E46-(CARTÕES!$F46-1)*ROUND(CARTÕES!$E46/CARTÕES!$F46,0),ROUND(CARTÕES!$E46/CARTÕES!$F46,0)))</f>
        <v/>
      </c>
      <c r="BB46" s="57">
        <f>IF(R46=0,0,IF(16=CARTÕES!$F46,CARTÕES!$E46-(CARTÕES!$F46-1)*ROUND(CARTÕES!$E46/CARTÕES!$F46,0),ROUND(CARTÕES!$E46/CARTÕES!$F46,0)))</f>
        <v/>
      </c>
      <c r="BC46" s="57">
        <f>IF(S46=0,0,IF(17=CARTÕES!$F46,CARTÕES!$E46-(CARTÕES!$F46-1)*ROUND(CARTÕES!$E46/CARTÕES!$F46,0),ROUND(CARTÕES!$E46/CARTÕES!$F46,0)))</f>
        <v/>
      </c>
      <c r="BD46" s="57">
        <f>IF(T46=0,0,IF(18=CARTÕES!$F46,CARTÕES!$E46-(CARTÕES!$F46-1)*ROUND(CARTÕES!$E46/CARTÕES!$F46,0),ROUND(CARTÕES!$E46/CARTÕES!$F46,0)))</f>
        <v/>
      </c>
      <c r="BE46" s="57">
        <f>IF(U46=0,0,IF(19=CARTÕES!$F46,CARTÕES!$E46-(CARTÕES!$F46-1)*ROUND(CARTÕES!$E46/CARTÕES!$F46,0),ROUND(CARTÕES!$E46/CARTÕES!$F46,0)))</f>
        <v/>
      </c>
      <c r="BF46" s="57">
        <f>IF(V46=0,0,IF(20=CARTÕES!$F46,CARTÕES!$E46-(CARTÕES!$F46-1)*ROUND(CARTÕES!$E46/CARTÕES!$F46,0),ROUND(CARTÕES!$E46/CARTÕES!$F46,0)))</f>
        <v/>
      </c>
      <c r="BG46" s="57">
        <f>IF(W46=0,0,IF(21=CARTÕES!$F46,CARTÕES!$E46-(CARTÕES!$F46-1)*ROUND(CARTÕES!$E46/CARTÕES!$F46,0),ROUND(CARTÕES!$E46/CARTÕES!$F46,0)))</f>
        <v/>
      </c>
      <c r="BH46" s="57">
        <f>IF(X46=0,0,IF(22=CARTÕES!$F46,CARTÕES!$E46-(CARTÕES!$F46-1)*ROUND(CARTÕES!$E46/CARTÕES!$F46,0),ROUND(CARTÕES!$E46/CARTÕES!$F46,0)))</f>
        <v/>
      </c>
      <c r="BI46" s="57">
        <f>IF(Y46=0,0,IF(23=CARTÕES!$F46,CARTÕES!$E46-(CARTÕES!$F46-1)*ROUND(CARTÕES!$E46/CARTÕES!$F46,0),ROUND(CARTÕES!$E46/CARTÕES!$F46,0)))</f>
        <v/>
      </c>
      <c r="BJ46" s="57">
        <f>IF(Z46=0,0,IF(24=CARTÕES!$F46,CARTÕES!$E46-(CARTÕES!$F46-1)*ROUND(CARTÕES!$E46/CARTÕES!$F46,0),ROUND(CARTÕES!$E46/CARTÕES!$F46,0)))</f>
        <v/>
      </c>
      <c r="BK46" s="57">
        <f>IF(AA46=0,0,IF(25=CARTÕES!$F46,CARTÕES!$E46-(CARTÕES!$F46-1)*ROUND(CARTÕES!$E46/CARTÕES!$F46,0),ROUND(CARTÕES!$E46/CARTÕES!$F46,0)))</f>
        <v/>
      </c>
      <c r="BL46" s="57">
        <f>IF(AB46=0,0,IF(26=CARTÕES!$F46,CARTÕES!$E46-(CARTÕES!$F46-1)*ROUND(CARTÕES!$E46/CARTÕES!$F46,0),ROUND(CARTÕES!$E46/CARTÕES!$F46,0)))</f>
        <v/>
      </c>
      <c r="BM46" s="57">
        <f>IF(AC46=0,0,IF(27=CARTÕES!$F46,CARTÕES!$E46-(CARTÕES!$F46-1)*ROUND(CARTÕES!$E46/CARTÕES!$F46,0),ROUND(CARTÕES!$E46/CARTÕES!$F46,0)))</f>
        <v/>
      </c>
      <c r="BN46" s="57">
        <f>IF(AD46=0,0,IF(28=CARTÕES!$F46,CARTÕES!$E46-(CARTÕES!$F46-1)*ROUND(CARTÕES!$E46/CARTÕES!$F46,0),ROUND(CARTÕES!$E46/CARTÕES!$F46,0)))</f>
        <v/>
      </c>
      <c r="BO46" s="57">
        <f>IF(AE46=0,0,IF(29=CARTÕES!$F46,CARTÕES!$E46-(CARTÕES!$F46-1)*ROUND(CARTÕES!$E46/CARTÕES!$F46,0),ROUND(CARTÕES!$E46/CARTÕES!$F46,0)))</f>
        <v/>
      </c>
      <c r="BP46" s="57">
        <f>IF(AF46=0,0,IF(30=CARTÕES!$F46,CARTÕES!$E46-(CARTÕES!$F46-1)*ROUND(CARTÕES!$E46/CARTÕES!$F46,0),ROUND(CARTÕES!$E46/CARTÕES!$F46,0)))</f>
        <v/>
      </c>
      <c r="BQ46" s="57">
        <f>IF(AG46=0,0,IF(31=CARTÕES!$F46,CARTÕES!$E46-(CARTÕES!$F46-1)*ROUND(CARTÕES!$E46/CARTÕES!$F46,0),ROUND(CARTÕES!$E46/CARTÕES!$F46,0)))</f>
        <v/>
      </c>
      <c r="BR46" s="57">
        <f>IF(AH46=0,0,IF(32=CARTÕES!$F46,CARTÕES!$E46-(CARTÕES!$F46-1)*ROUND(CARTÕES!$E46/CARTÕES!$F46,0),ROUND(CARTÕES!$E46/CARTÕES!$F46,0)))</f>
        <v/>
      </c>
      <c r="BS46" s="57">
        <f>IF(AI46=0,0,IF(33=CARTÕES!$F46,CARTÕES!$E46-(CARTÕES!$F46-1)*ROUND(CARTÕES!$E46/CARTÕES!$F46,0),ROUND(CARTÕES!$E46/CARTÕES!$F46,0)))</f>
        <v/>
      </c>
      <c r="BT46" s="57">
        <f>IF(AJ46=0,0,IF(34=CARTÕES!$F46,CARTÕES!$E46-(CARTÕES!$F46-1)*ROUND(CARTÕES!$E46/CARTÕES!$F46,0),ROUND(CARTÕES!$E46/CARTÕES!$F46,0)))</f>
        <v/>
      </c>
      <c r="BU46" s="57">
        <f>IF(AK46=0,0,IF(35=CARTÕES!$F46,CARTÕES!$E46-(CARTÕES!$F46-1)*ROUND(CARTÕES!$E46/CARTÕES!$F46,0),ROUND(CARTÕES!$E46/CARTÕES!$F46,0)))</f>
        <v/>
      </c>
      <c r="BV46" s="57">
        <f>IF(AL46=0,0,IF(36=CARTÕES!$F46,CARTÕES!$E46-(CARTÕES!$F46-1)*ROUND(CARTÕES!$E46/CARTÕES!$F46,0),ROUND(CARTÕES!$E46/CARTÕES!$F46,0)))</f>
        <v/>
      </c>
    </row>
    <row r="47">
      <c r="A47" s="55">
        <f>IF(CARTÕES!$C47="","",CARTÕES!$C47)</f>
        <v/>
      </c>
      <c r="B47" s="56">
        <f>SUMPRODUCT((C47:AL47='RESUMO MENSAL'!$C$4)*AM47:BV47)</f>
        <v/>
      </c>
      <c r="C47" s="57">
        <f>IF(OR(CARTÕES!$K47=0,CARTÕES!$F47=""),0,IF(1&gt;CARTÕES!$F47,0,CARTÕES!$K47+1-1))</f>
        <v/>
      </c>
      <c r="D47" s="57">
        <f>IF(OR(CARTÕES!$K47=0,CARTÕES!$F47=""),0,IF(2&gt;CARTÕES!$F47,0,CARTÕES!$K47+2-1))</f>
        <v/>
      </c>
      <c r="E47" s="57">
        <f>IF(OR(CARTÕES!$K47=0,CARTÕES!$F47=""),0,IF(3&gt;CARTÕES!$F47,0,CARTÕES!$K47+3-1))</f>
        <v/>
      </c>
      <c r="F47" s="57">
        <f>IF(OR(CARTÕES!$K47=0,CARTÕES!$F47=""),0,IF(4&gt;CARTÕES!$F47,0,CARTÕES!$K47+4-1))</f>
        <v/>
      </c>
      <c r="G47" s="57">
        <f>IF(OR(CARTÕES!$K47=0,CARTÕES!$F47=""),0,IF(5&gt;CARTÕES!$F47,0,CARTÕES!$K47+5-1))</f>
        <v/>
      </c>
      <c r="H47" s="57">
        <f>IF(OR(CARTÕES!$K47=0,CARTÕES!$F47=""),0,IF(6&gt;CARTÕES!$F47,0,CARTÕES!$K47+6-1))</f>
        <v/>
      </c>
      <c r="I47" s="57">
        <f>IF(OR(CARTÕES!$K47=0,CARTÕES!$F47=""),0,IF(7&gt;CARTÕES!$F47,0,CARTÕES!$K47+7-1))</f>
        <v/>
      </c>
      <c r="J47" s="57">
        <f>IF(OR(CARTÕES!$K47=0,CARTÕES!$F47=""),0,IF(8&gt;CARTÕES!$F47,0,CARTÕES!$K47+8-1))</f>
        <v/>
      </c>
      <c r="K47" s="57">
        <f>IF(OR(CARTÕES!$K47=0,CARTÕES!$F47=""),0,IF(9&gt;CARTÕES!$F47,0,CARTÕES!$K47+9-1))</f>
        <v/>
      </c>
      <c r="L47" s="57">
        <f>IF(OR(CARTÕES!$K47=0,CARTÕES!$F47=""),0,IF(10&gt;CARTÕES!$F47,0,CARTÕES!$K47+10-1))</f>
        <v/>
      </c>
      <c r="M47" s="57">
        <f>IF(OR(CARTÕES!$K47=0,CARTÕES!$F47=""),0,IF(11&gt;CARTÕES!$F47,0,CARTÕES!$K47+11-1))</f>
        <v/>
      </c>
      <c r="N47" s="57">
        <f>IF(OR(CARTÕES!$K47=0,CARTÕES!$F47=""),0,IF(12&gt;CARTÕES!$F47,0,CARTÕES!$K47+12-1))</f>
        <v/>
      </c>
      <c r="O47" s="57">
        <f>IF(OR(CARTÕES!$K47=0,CARTÕES!$F47=""),0,IF(13&gt;CARTÕES!$F47,0,CARTÕES!$K47+13-1))</f>
        <v/>
      </c>
      <c r="P47" s="57">
        <f>IF(OR(CARTÕES!$K47=0,CARTÕES!$F47=""),0,IF(14&gt;CARTÕES!$F47,0,CARTÕES!$K47+14-1))</f>
        <v/>
      </c>
      <c r="Q47" s="57">
        <f>IF(OR(CARTÕES!$K47=0,CARTÕES!$F47=""),0,IF(15&gt;CARTÕES!$F47,0,CARTÕES!$K47+15-1))</f>
        <v/>
      </c>
      <c r="R47" s="57">
        <f>IF(OR(CARTÕES!$K47=0,CARTÕES!$F47=""),0,IF(16&gt;CARTÕES!$F47,0,CARTÕES!$K47+16-1))</f>
        <v/>
      </c>
      <c r="S47" s="57">
        <f>IF(OR(CARTÕES!$K47=0,CARTÕES!$F47=""),0,IF(17&gt;CARTÕES!$F47,0,CARTÕES!$K47+17-1))</f>
        <v/>
      </c>
      <c r="T47" s="57">
        <f>IF(OR(CARTÕES!$K47=0,CARTÕES!$F47=""),0,IF(18&gt;CARTÕES!$F47,0,CARTÕES!$K47+18-1))</f>
        <v/>
      </c>
      <c r="U47" s="57">
        <f>IF(OR(CARTÕES!$K47=0,CARTÕES!$F47=""),0,IF(19&gt;CARTÕES!$F47,0,CARTÕES!$K47+19-1))</f>
        <v/>
      </c>
      <c r="V47" s="57">
        <f>IF(OR(CARTÕES!$K47=0,CARTÕES!$F47=""),0,IF(20&gt;CARTÕES!$F47,0,CARTÕES!$K47+20-1))</f>
        <v/>
      </c>
      <c r="W47" s="57">
        <f>IF(OR(CARTÕES!$K47=0,CARTÕES!$F47=""),0,IF(21&gt;CARTÕES!$F47,0,CARTÕES!$K47+21-1))</f>
        <v/>
      </c>
      <c r="X47" s="57">
        <f>IF(OR(CARTÕES!$K47=0,CARTÕES!$F47=""),0,IF(22&gt;CARTÕES!$F47,0,CARTÕES!$K47+22-1))</f>
        <v/>
      </c>
      <c r="Y47" s="57">
        <f>IF(OR(CARTÕES!$K47=0,CARTÕES!$F47=""),0,IF(23&gt;CARTÕES!$F47,0,CARTÕES!$K47+23-1))</f>
        <v/>
      </c>
      <c r="Z47" s="57">
        <f>IF(OR(CARTÕES!$K47=0,CARTÕES!$F47=""),0,IF(24&gt;CARTÕES!$F47,0,CARTÕES!$K47+24-1))</f>
        <v/>
      </c>
      <c r="AA47" s="57">
        <f>IF(OR(CARTÕES!$K47=0,CARTÕES!$F47=""),0,IF(25&gt;CARTÕES!$F47,0,CARTÕES!$K47+25-1))</f>
        <v/>
      </c>
      <c r="AB47" s="57">
        <f>IF(OR(CARTÕES!$K47=0,CARTÕES!$F47=""),0,IF(26&gt;CARTÕES!$F47,0,CARTÕES!$K47+26-1))</f>
        <v/>
      </c>
      <c r="AC47" s="57">
        <f>IF(OR(CARTÕES!$K47=0,CARTÕES!$F47=""),0,IF(27&gt;CARTÕES!$F47,0,CARTÕES!$K47+27-1))</f>
        <v/>
      </c>
      <c r="AD47" s="57">
        <f>IF(OR(CARTÕES!$K47=0,CARTÕES!$F47=""),0,IF(28&gt;CARTÕES!$F47,0,CARTÕES!$K47+28-1))</f>
        <v/>
      </c>
      <c r="AE47" s="57">
        <f>IF(OR(CARTÕES!$K47=0,CARTÕES!$F47=""),0,IF(29&gt;CARTÕES!$F47,0,CARTÕES!$K47+29-1))</f>
        <v/>
      </c>
      <c r="AF47" s="57">
        <f>IF(OR(CARTÕES!$K47=0,CARTÕES!$F47=""),0,IF(30&gt;CARTÕES!$F47,0,CARTÕES!$K47+30-1))</f>
        <v/>
      </c>
      <c r="AG47" s="57">
        <f>IF(OR(CARTÕES!$K47=0,CARTÕES!$F47=""),0,IF(31&gt;CARTÕES!$F47,0,CARTÕES!$K47+31-1))</f>
        <v/>
      </c>
      <c r="AH47" s="57">
        <f>IF(OR(CARTÕES!$K47=0,CARTÕES!$F47=""),0,IF(32&gt;CARTÕES!$F47,0,CARTÕES!$K47+32-1))</f>
        <v/>
      </c>
      <c r="AI47" s="57">
        <f>IF(OR(CARTÕES!$K47=0,CARTÕES!$F47=""),0,IF(33&gt;CARTÕES!$F47,0,CARTÕES!$K47+33-1))</f>
        <v/>
      </c>
      <c r="AJ47" s="57">
        <f>IF(OR(CARTÕES!$K47=0,CARTÕES!$F47=""),0,IF(34&gt;CARTÕES!$F47,0,CARTÕES!$K47+34-1))</f>
        <v/>
      </c>
      <c r="AK47" s="57">
        <f>IF(OR(CARTÕES!$K47=0,CARTÕES!$F47=""),0,IF(35&gt;CARTÕES!$F47,0,CARTÕES!$K47+35-1))</f>
        <v/>
      </c>
      <c r="AL47" s="57">
        <f>IF(OR(CARTÕES!$K47=0,CARTÕES!$F47=""),0,IF(36&gt;CARTÕES!$F47,0,CARTÕES!$K47+36-1))</f>
        <v/>
      </c>
      <c r="AM47" s="57">
        <f>IF(C47=0,0,IF(1=CARTÕES!$F47,CARTÕES!$E47-(CARTÕES!$F47-1)*ROUND(CARTÕES!$E47/CARTÕES!$F47,0),ROUND(CARTÕES!$E47/CARTÕES!$F47,0)))</f>
        <v/>
      </c>
      <c r="AN47" s="57">
        <f>IF(D47=0,0,IF(2=CARTÕES!$F47,CARTÕES!$E47-(CARTÕES!$F47-1)*ROUND(CARTÕES!$E47/CARTÕES!$F47,0),ROUND(CARTÕES!$E47/CARTÕES!$F47,0)))</f>
        <v/>
      </c>
      <c r="AO47" s="57">
        <f>IF(E47=0,0,IF(3=CARTÕES!$F47,CARTÕES!$E47-(CARTÕES!$F47-1)*ROUND(CARTÕES!$E47/CARTÕES!$F47,0),ROUND(CARTÕES!$E47/CARTÕES!$F47,0)))</f>
        <v/>
      </c>
      <c r="AP47" s="57">
        <f>IF(F47=0,0,IF(4=CARTÕES!$F47,CARTÕES!$E47-(CARTÕES!$F47-1)*ROUND(CARTÕES!$E47/CARTÕES!$F47,0),ROUND(CARTÕES!$E47/CARTÕES!$F47,0)))</f>
        <v/>
      </c>
      <c r="AQ47" s="57">
        <f>IF(G47=0,0,IF(5=CARTÕES!$F47,CARTÕES!$E47-(CARTÕES!$F47-1)*ROUND(CARTÕES!$E47/CARTÕES!$F47,0),ROUND(CARTÕES!$E47/CARTÕES!$F47,0)))</f>
        <v/>
      </c>
      <c r="AR47" s="57">
        <f>IF(H47=0,0,IF(6=CARTÕES!$F47,CARTÕES!$E47-(CARTÕES!$F47-1)*ROUND(CARTÕES!$E47/CARTÕES!$F47,0),ROUND(CARTÕES!$E47/CARTÕES!$F47,0)))</f>
        <v/>
      </c>
      <c r="AS47" s="57">
        <f>IF(I47=0,0,IF(7=CARTÕES!$F47,CARTÕES!$E47-(CARTÕES!$F47-1)*ROUND(CARTÕES!$E47/CARTÕES!$F47,0),ROUND(CARTÕES!$E47/CARTÕES!$F47,0)))</f>
        <v/>
      </c>
      <c r="AT47" s="57">
        <f>IF(J47=0,0,IF(8=CARTÕES!$F47,CARTÕES!$E47-(CARTÕES!$F47-1)*ROUND(CARTÕES!$E47/CARTÕES!$F47,0),ROUND(CARTÕES!$E47/CARTÕES!$F47,0)))</f>
        <v/>
      </c>
      <c r="AU47" s="57">
        <f>IF(K47=0,0,IF(9=CARTÕES!$F47,CARTÕES!$E47-(CARTÕES!$F47-1)*ROUND(CARTÕES!$E47/CARTÕES!$F47,0),ROUND(CARTÕES!$E47/CARTÕES!$F47,0)))</f>
        <v/>
      </c>
      <c r="AV47" s="57">
        <f>IF(L47=0,0,IF(10=CARTÕES!$F47,CARTÕES!$E47-(CARTÕES!$F47-1)*ROUND(CARTÕES!$E47/CARTÕES!$F47,0),ROUND(CARTÕES!$E47/CARTÕES!$F47,0)))</f>
        <v/>
      </c>
      <c r="AW47" s="57">
        <f>IF(M47=0,0,IF(11=CARTÕES!$F47,CARTÕES!$E47-(CARTÕES!$F47-1)*ROUND(CARTÕES!$E47/CARTÕES!$F47,0),ROUND(CARTÕES!$E47/CARTÕES!$F47,0)))</f>
        <v/>
      </c>
      <c r="AX47" s="57">
        <f>IF(N47=0,0,IF(12=CARTÕES!$F47,CARTÕES!$E47-(CARTÕES!$F47-1)*ROUND(CARTÕES!$E47/CARTÕES!$F47,0),ROUND(CARTÕES!$E47/CARTÕES!$F47,0)))</f>
        <v/>
      </c>
      <c r="AY47" s="57">
        <f>IF(O47=0,0,IF(13=CARTÕES!$F47,CARTÕES!$E47-(CARTÕES!$F47-1)*ROUND(CARTÕES!$E47/CARTÕES!$F47,0),ROUND(CARTÕES!$E47/CARTÕES!$F47,0)))</f>
        <v/>
      </c>
      <c r="AZ47" s="57">
        <f>IF(P47=0,0,IF(14=CARTÕES!$F47,CARTÕES!$E47-(CARTÕES!$F47-1)*ROUND(CARTÕES!$E47/CARTÕES!$F47,0),ROUND(CARTÕES!$E47/CARTÕES!$F47,0)))</f>
        <v/>
      </c>
      <c r="BA47" s="57">
        <f>IF(Q47=0,0,IF(15=CARTÕES!$F47,CARTÕES!$E47-(CARTÕES!$F47-1)*ROUND(CARTÕES!$E47/CARTÕES!$F47,0),ROUND(CARTÕES!$E47/CARTÕES!$F47,0)))</f>
        <v/>
      </c>
      <c r="BB47" s="57">
        <f>IF(R47=0,0,IF(16=CARTÕES!$F47,CARTÕES!$E47-(CARTÕES!$F47-1)*ROUND(CARTÕES!$E47/CARTÕES!$F47,0),ROUND(CARTÕES!$E47/CARTÕES!$F47,0)))</f>
        <v/>
      </c>
      <c r="BC47" s="57">
        <f>IF(S47=0,0,IF(17=CARTÕES!$F47,CARTÕES!$E47-(CARTÕES!$F47-1)*ROUND(CARTÕES!$E47/CARTÕES!$F47,0),ROUND(CARTÕES!$E47/CARTÕES!$F47,0)))</f>
        <v/>
      </c>
      <c r="BD47" s="57">
        <f>IF(T47=0,0,IF(18=CARTÕES!$F47,CARTÕES!$E47-(CARTÕES!$F47-1)*ROUND(CARTÕES!$E47/CARTÕES!$F47,0),ROUND(CARTÕES!$E47/CARTÕES!$F47,0)))</f>
        <v/>
      </c>
      <c r="BE47" s="57">
        <f>IF(U47=0,0,IF(19=CARTÕES!$F47,CARTÕES!$E47-(CARTÕES!$F47-1)*ROUND(CARTÕES!$E47/CARTÕES!$F47,0),ROUND(CARTÕES!$E47/CARTÕES!$F47,0)))</f>
        <v/>
      </c>
      <c r="BF47" s="57">
        <f>IF(V47=0,0,IF(20=CARTÕES!$F47,CARTÕES!$E47-(CARTÕES!$F47-1)*ROUND(CARTÕES!$E47/CARTÕES!$F47,0),ROUND(CARTÕES!$E47/CARTÕES!$F47,0)))</f>
        <v/>
      </c>
      <c r="BG47" s="57">
        <f>IF(W47=0,0,IF(21=CARTÕES!$F47,CARTÕES!$E47-(CARTÕES!$F47-1)*ROUND(CARTÕES!$E47/CARTÕES!$F47,0),ROUND(CARTÕES!$E47/CARTÕES!$F47,0)))</f>
        <v/>
      </c>
      <c r="BH47" s="57">
        <f>IF(X47=0,0,IF(22=CARTÕES!$F47,CARTÕES!$E47-(CARTÕES!$F47-1)*ROUND(CARTÕES!$E47/CARTÕES!$F47,0),ROUND(CARTÕES!$E47/CARTÕES!$F47,0)))</f>
        <v/>
      </c>
      <c r="BI47" s="57">
        <f>IF(Y47=0,0,IF(23=CARTÕES!$F47,CARTÕES!$E47-(CARTÕES!$F47-1)*ROUND(CARTÕES!$E47/CARTÕES!$F47,0),ROUND(CARTÕES!$E47/CARTÕES!$F47,0)))</f>
        <v/>
      </c>
      <c r="BJ47" s="57">
        <f>IF(Z47=0,0,IF(24=CARTÕES!$F47,CARTÕES!$E47-(CARTÕES!$F47-1)*ROUND(CARTÕES!$E47/CARTÕES!$F47,0),ROUND(CARTÕES!$E47/CARTÕES!$F47,0)))</f>
        <v/>
      </c>
      <c r="BK47" s="57">
        <f>IF(AA47=0,0,IF(25=CARTÕES!$F47,CARTÕES!$E47-(CARTÕES!$F47-1)*ROUND(CARTÕES!$E47/CARTÕES!$F47,0),ROUND(CARTÕES!$E47/CARTÕES!$F47,0)))</f>
        <v/>
      </c>
      <c r="BL47" s="57">
        <f>IF(AB47=0,0,IF(26=CARTÕES!$F47,CARTÕES!$E47-(CARTÕES!$F47-1)*ROUND(CARTÕES!$E47/CARTÕES!$F47,0),ROUND(CARTÕES!$E47/CARTÕES!$F47,0)))</f>
        <v/>
      </c>
      <c r="BM47" s="57">
        <f>IF(AC47=0,0,IF(27=CARTÕES!$F47,CARTÕES!$E47-(CARTÕES!$F47-1)*ROUND(CARTÕES!$E47/CARTÕES!$F47,0),ROUND(CARTÕES!$E47/CARTÕES!$F47,0)))</f>
        <v/>
      </c>
      <c r="BN47" s="57">
        <f>IF(AD47=0,0,IF(28=CARTÕES!$F47,CARTÕES!$E47-(CARTÕES!$F47-1)*ROUND(CARTÕES!$E47/CARTÕES!$F47,0),ROUND(CARTÕES!$E47/CARTÕES!$F47,0)))</f>
        <v/>
      </c>
      <c r="BO47" s="57">
        <f>IF(AE47=0,0,IF(29=CARTÕES!$F47,CARTÕES!$E47-(CARTÕES!$F47-1)*ROUND(CARTÕES!$E47/CARTÕES!$F47,0),ROUND(CARTÕES!$E47/CARTÕES!$F47,0)))</f>
        <v/>
      </c>
      <c r="BP47" s="57">
        <f>IF(AF47=0,0,IF(30=CARTÕES!$F47,CARTÕES!$E47-(CARTÕES!$F47-1)*ROUND(CARTÕES!$E47/CARTÕES!$F47,0),ROUND(CARTÕES!$E47/CARTÕES!$F47,0)))</f>
        <v/>
      </c>
      <c r="BQ47" s="57">
        <f>IF(AG47=0,0,IF(31=CARTÕES!$F47,CARTÕES!$E47-(CARTÕES!$F47-1)*ROUND(CARTÕES!$E47/CARTÕES!$F47,0),ROUND(CARTÕES!$E47/CARTÕES!$F47,0)))</f>
        <v/>
      </c>
      <c r="BR47" s="57">
        <f>IF(AH47=0,0,IF(32=CARTÕES!$F47,CARTÕES!$E47-(CARTÕES!$F47-1)*ROUND(CARTÕES!$E47/CARTÕES!$F47,0),ROUND(CARTÕES!$E47/CARTÕES!$F47,0)))</f>
        <v/>
      </c>
      <c r="BS47" s="57">
        <f>IF(AI47=0,0,IF(33=CARTÕES!$F47,CARTÕES!$E47-(CARTÕES!$F47-1)*ROUND(CARTÕES!$E47/CARTÕES!$F47,0),ROUND(CARTÕES!$E47/CARTÕES!$F47,0)))</f>
        <v/>
      </c>
      <c r="BT47" s="57">
        <f>IF(AJ47=0,0,IF(34=CARTÕES!$F47,CARTÕES!$E47-(CARTÕES!$F47-1)*ROUND(CARTÕES!$E47/CARTÕES!$F47,0),ROUND(CARTÕES!$E47/CARTÕES!$F47,0)))</f>
        <v/>
      </c>
      <c r="BU47" s="57">
        <f>IF(AK47=0,0,IF(35=CARTÕES!$F47,CARTÕES!$E47-(CARTÕES!$F47-1)*ROUND(CARTÕES!$E47/CARTÕES!$F47,0),ROUND(CARTÕES!$E47/CARTÕES!$F47,0)))</f>
        <v/>
      </c>
      <c r="BV47" s="57">
        <f>IF(AL47=0,0,IF(36=CARTÕES!$F47,CARTÕES!$E47-(CARTÕES!$F47-1)*ROUND(CARTÕES!$E47/CARTÕES!$F47,0),ROUND(CARTÕES!$E47/CARTÕES!$F47,0)))</f>
        <v/>
      </c>
    </row>
    <row r="48">
      <c r="A48" s="55">
        <f>IF(CARTÕES!$C48="","",CARTÕES!$C48)</f>
        <v/>
      </c>
      <c r="B48" s="56">
        <f>SUMPRODUCT((C48:AL48='RESUMO MENSAL'!$C$4)*AM48:BV48)</f>
        <v/>
      </c>
      <c r="C48" s="57">
        <f>IF(OR(CARTÕES!$K48=0,CARTÕES!$F48=""),0,IF(1&gt;CARTÕES!$F48,0,CARTÕES!$K48+1-1))</f>
        <v/>
      </c>
      <c r="D48" s="57">
        <f>IF(OR(CARTÕES!$K48=0,CARTÕES!$F48=""),0,IF(2&gt;CARTÕES!$F48,0,CARTÕES!$K48+2-1))</f>
        <v/>
      </c>
      <c r="E48" s="57">
        <f>IF(OR(CARTÕES!$K48=0,CARTÕES!$F48=""),0,IF(3&gt;CARTÕES!$F48,0,CARTÕES!$K48+3-1))</f>
        <v/>
      </c>
      <c r="F48" s="57">
        <f>IF(OR(CARTÕES!$K48=0,CARTÕES!$F48=""),0,IF(4&gt;CARTÕES!$F48,0,CARTÕES!$K48+4-1))</f>
        <v/>
      </c>
      <c r="G48" s="57">
        <f>IF(OR(CARTÕES!$K48=0,CARTÕES!$F48=""),0,IF(5&gt;CARTÕES!$F48,0,CARTÕES!$K48+5-1))</f>
        <v/>
      </c>
      <c r="H48" s="57">
        <f>IF(OR(CARTÕES!$K48=0,CARTÕES!$F48=""),0,IF(6&gt;CARTÕES!$F48,0,CARTÕES!$K48+6-1))</f>
        <v/>
      </c>
      <c r="I48" s="57">
        <f>IF(OR(CARTÕES!$K48=0,CARTÕES!$F48=""),0,IF(7&gt;CARTÕES!$F48,0,CARTÕES!$K48+7-1))</f>
        <v/>
      </c>
      <c r="J48" s="57">
        <f>IF(OR(CARTÕES!$K48=0,CARTÕES!$F48=""),0,IF(8&gt;CARTÕES!$F48,0,CARTÕES!$K48+8-1))</f>
        <v/>
      </c>
      <c r="K48" s="57">
        <f>IF(OR(CARTÕES!$K48=0,CARTÕES!$F48=""),0,IF(9&gt;CARTÕES!$F48,0,CARTÕES!$K48+9-1))</f>
        <v/>
      </c>
      <c r="L48" s="57">
        <f>IF(OR(CARTÕES!$K48=0,CARTÕES!$F48=""),0,IF(10&gt;CARTÕES!$F48,0,CARTÕES!$K48+10-1))</f>
        <v/>
      </c>
      <c r="M48" s="57">
        <f>IF(OR(CARTÕES!$K48=0,CARTÕES!$F48=""),0,IF(11&gt;CARTÕES!$F48,0,CARTÕES!$K48+11-1))</f>
        <v/>
      </c>
      <c r="N48" s="57">
        <f>IF(OR(CARTÕES!$K48=0,CARTÕES!$F48=""),0,IF(12&gt;CARTÕES!$F48,0,CARTÕES!$K48+12-1))</f>
        <v/>
      </c>
      <c r="O48" s="57">
        <f>IF(OR(CARTÕES!$K48=0,CARTÕES!$F48=""),0,IF(13&gt;CARTÕES!$F48,0,CARTÕES!$K48+13-1))</f>
        <v/>
      </c>
      <c r="P48" s="57">
        <f>IF(OR(CARTÕES!$K48=0,CARTÕES!$F48=""),0,IF(14&gt;CARTÕES!$F48,0,CARTÕES!$K48+14-1))</f>
        <v/>
      </c>
      <c r="Q48" s="57">
        <f>IF(OR(CARTÕES!$K48=0,CARTÕES!$F48=""),0,IF(15&gt;CARTÕES!$F48,0,CARTÕES!$K48+15-1))</f>
        <v/>
      </c>
      <c r="R48" s="57">
        <f>IF(OR(CARTÕES!$K48=0,CARTÕES!$F48=""),0,IF(16&gt;CARTÕES!$F48,0,CARTÕES!$K48+16-1))</f>
        <v/>
      </c>
      <c r="S48" s="57">
        <f>IF(OR(CARTÕES!$K48=0,CARTÕES!$F48=""),0,IF(17&gt;CARTÕES!$F48,0,CARTÕES!$K48+17-1))</f>
        <v/>
      </c>
      <c r="T48" s="57">
        <f>IF(OR(CARTÕES!$K48=0,CARTÕES!$F48=""),0,IF(18&gt;CARTÕES!$F48,0,CARTÕES!$K48+18-1))</f>
        <v/>
      </c>
      <c r="U48" s="57">
        <f>IF(OR(CARTÕES!$K48=0,CARTÕES!$F48=""),0,IF(19&gt;CARTÕES!$F48,0,CARTÕES!$K48+19-1))</f>
        <v/>
      </c>
      <c r="V48" s="57">
        <f>IF(OR(CARTÕES!$K48=0,CARTÕES!$F48=""),0,IF(20&gt;CARTÕES!$F48,0,CARTÕES!$K48+20-1))</f>
        <v/>
      </c>
      <c r="W48" s="57">
        <f>IF(OR(CARTÕES!$K48=0,CARTÕES!$F48=""),0,IF(21&gt;CARTÕES!$F48,0,CARTÕES!$K48+21-1))</f>
        <v/>
      </c>
      <c r="X48" s="57">
        <f>IF(OR(CARTÕES!$K48=0,CARTÕES!$F48=""),0,IF(22&gt;CARTÕES!$F48,0,CARTÕES!$K48+22-1))</f>
        <v/>
      </c>
      <c r="Y48" s="57">
        <f>IF(OR(CARTÕES!$K48=0,CARTÕES!$F48=""),0,IF(23&gt;CARTÕES!$F48,0,CARTÕES!$K48+23-1))</f>
        <v/>
      </c>
      <c r="Z48" s="57">
        <f>IF(OR(CARTÕES!$K48=0,CARTÕES!$F48=""),0,IF(24&gt;CARTÕES!$F48,0,CARTÕES!$K48+24-1))</f>
        <v/>
      </c>
      <c r="AA48" s="57">
        <f>IF(OR(CARTÕES!$K48=0,CARTÕES!$F48=""),0,IF(25&gt;CARTÕES!$F48,0,CARTÕES!$K48+25-1))</f>
        <v/>
      </c>
      <c r="AB48" s="57">
        <f>IF(OR(CARTÕES!$K48=0,CARTÕES!$F48=""),0,IF(26&gt;CARTÕES!$F48,0,CARTÕES!$K48+26-1))</f>
        <v/>
      </c>
      <c r="AC48" s="57">
        <f>IF(OR(CARTÕES!$K48=0,CARTÕES!$F48=""),0,IF(27&gt;CARTÕES!$F48,0,CARTÕES!$K48+27-1))</f>
        <v/>
      </c>
      <c r="AD48" s="57">
        <f>IF(OR(CARTÕES!$K48=0,CARTÕES!$F48=""),0,IF(28&gt;CARTÕES!$F48,0,CARTÕES!$K48+28-1))</f>
        <v/>
      </c>
      <c r="AE48" s="57">
        <f>IF(OR(CARTÕES!$K48=0,CARTÕES!$F48=""),0,IF(29&gt;CARTÕES!$F48,0,CARTÕES!$K48+29-1))</f>
        <v/>
      </c>
      <c r="AF48" s="57">
        <f>IF(OR(CARTÕES!$K48=0,CARTÕES!$F48=""),0,IF(30&gt;CARTÕES!$F48,0,CARTÕES!$K48+30-1))</f>
        <v/>
      </c>
      <c r="AG48" s="57">
        <f>IF(OR(CARTÕES!$K48=0,CARTÕES!$F48=""),0,IF(31&gt;CARTÕES!$F48,0,CARTÕES!$K48+31-1))</f>
        <v/>
      </c>
      <c r="AH48" s="57">
        <f>IF(OR(CARTÕES!$K48=0,CARTÕES!$F48=""),0,IF(32&gt;CARTÕES!$F48,0,CARTÕES!$K48+32-1))</f>
        <v/>
      </c>
      <c r="AI48" s="57">
        <f>IF(OR(CARTÕES!$K48=0,CARTÕES!$F48=""),0,IF(33&gt;CARTÕES!$F48,0,CARTÕES!$K48+33-1))</f>
        <v/>
      </c>
      <c r="AJ48" s="57">
        <f>IF(OR(CARTÕES!$K48=0,CARTÕES!$F48=""),0,IF(34&gt;CARTÕES!$F48,0,CARTÕES!$K48+34-1))</f>
        <v/>
      </c>
      <c r="AK48" s="57">
        <f>IF(OR(CARTÕES!$K48=0,CARTÕES!$F48=""),0,IF(35&gt;CARTÕES!$F48,0,CARTÕES!$K48+35-1))</f>
        <v/>
      </c>
      <c r="AL48" s="57">
        <f>IF(OR(CARTÕES!$K48=0,CARTÕES!$F48=""),0,IF(36&gt;CARTÕES!$F48,0,CARTÕES!$K48+36-1))</f>
        <v/>
      </c>
      <c r="AM48" s="57">
        <f>IF(C48=0,0,IF(1=CARTÕES!$F48,CARTÕES!$E48-(CARTÕES!$F48-1)*ROUND(CARTÕES!$E48/CARTÕES!$F48,0),ROUND(CARTÕES!$E48/CARTÕES!$F48,0)))</f>
        <v/>
      </c>
      <c r="AN48" s="57">
        <f>IF(D48=0,0,IF(2=CARTÕES!$F48,CARTÕES!$E48-(CARTÕES!$F48-1)*ROUND(CARTÕES!$E48/CARTÕES!$F48,0),ROUND(CARTÕES!$E48/CARTÕES!$F48,0)))</f>
        <v/>
      </c>
      <c r="AO48" s="57">
        <f>IF(E48=0,0,IF(3=CARTÕES!$F48,CARTÕES!$E48-(CARTÕES!$F48-1)*ROUND(CARTÕES!$E48/CARTÕES!$F48,0),ROUND(CARTÕES!$E48/CARTÕES!$F48,0)))</f>
        <v/>
      </c>
      <c r="AP48" s="57">
        <f>IF(F48=0,0,IF(4=CARTÕES!$F48,CARTÕES!$E48-(CARTÕES!$F48-1)*ROUND(CARTÕES!$E48/CARTÕES!$F48,0),ROUND(CARTÕES!$E48/CARTÕES!$F48,0)))</f>
        <v/>
      </c>
      <c r="AQ48" s="57">
        <f>IF(G48=0,0,IF(5=CARTÕES!$F48,CARTÕES!$E48-(CARTÕES!$F48-1)*ROUND(CARTÕES!$E48/CARTÕES!$F48,0),ROUND(CARTÕES!$E48/CARTÕES!$F48,0)))</f>
        <v/>
      </c>
      <c r="AR48" s="57">
        <f>IF(H48=0,0,IF(6=CARTÕES!$F48,CARTÕES!$E48-(CARTÕES!$F48-1)*ROUND(CARTÕES!$E48/CARTÕES!$F48,0),ROUND(CARTÕES!$E48/CARTÕES!$F48,0)))</f>
        <v/>
      </c>
      <c r="AS48" s="57">
        <f>IF(I48=0,0,IF(7=CARTÕES!$F48,CARTÕES!$E48-(CARTÕES!$F48-1)*ROUND(CARTÕES!$E48/CARTÕES!$F48,0),ROUND(CARTÕES!$E48/CARTÕES!$F48,0)))</f>
        <v/>
      </c>
      <c r="AT48" s="57">
        <f>IF(J48=0,0,IF(8=CARTÕES!$F48,CARTÕES!$E48-(CARTÕES!$F48-1)*ROUND(CARTÕES!$E48/CARTÕES!$F48,0),ROUND(CARTÕES!$E48/CARTÕES!$F48,0)))</f>
        <v/>
      </c>
      <c r="AU48" s="57">
        <f>IF(K48=0,0,IF(9=CARTÕES!$F48,CARTÕES!$E48-(CARTÕES!$F48-1)*ROUND(CARTÕES!$E48/CARTÕES!$F48,0),ROUND(CARTÕES!$E48/CARTÕES!$F48,0)))</f>
        <v/>
      </c>
      <c r="AV48" s="57">
        <f>IF(L48=0,0,IF(10=CARTÕES!$F48,CARTÕES!$E48-(CARTÕES!$F48-1)*ROUND(CARTÕES!$E48/CARTÕES!$F48,0),ROUND(CARTÕES!$E48/CARTÕES!$F48,0)))</f>
        <v/>
      </c>
      <c r="AW48" s="57">
        <f>IF(M48=0,0,IF(11=CARTÕES!$F48,CARTÕES!$E48-(CARTÕES!$F48-1)*ROUND(CARTÕES!$E48/CARTÕES!$F48,0),ROUND(CARTÕES!$E48/CARTÕES!$F48,0)))</f>
        <v/>
      </c>
      <c r="AX48" s="57">
        <f>IF(N48=0,0,IF(12=CARTÕES!$F48,CARTÕES!$E48-(CARTÕES!$F48-1)*ROUND(CARTÕES!$E48/CARTÕES!$F48,0),ROUND(CARTÕES!$E48/CARTÕES!$F48,0)))</f>
        <v/>
      </c>
      <c r="AY48" s="57">
        <f>IF(O48=0,0,IF(13=CARTÕES!$F48,CARTÕES!$E48-(CARTÕES!$F48-1)*ROUND(CARTÕES!$E48/CARTÕES!$F48,0),ROUND(CARTÕES!$E48/CARTÕES!$F48,0)))</f>
        <v/>
      </c>
      <c r="AZ48" s="57">
        <f>IF(P48=0,0,IF(14=CARTÕES!$F48,CARTÕES!$E48-(CARTÕES!$F48-1)*ROUND(CARTÕES!$E48/CARTÕES!$F48,0),ROUND(CARTÕES!$E48/CARTÕES!$F48,0)))</f>
        <v/>
      </c>
      <c r="BA48" s="57">
        <f>IF(Q48=0,0,IF(15=CARTÕES!$F48,CARTÕES!$E48-(CARTÕES!$F48-1)*ROUND(CARTÕES!$E48/CARTÕES!$F48,0),ROUND(CARTÕES!$E48/CARTÕES!$F48,0)))</f>
        <v/>
      </c>
      <c r="BB48" s="57">
        <f>IF(R48=0,0,IF(16=CARTÕES!$F48,CARTÕES!$E48-(CARTÕES!$F48-1)*ROUND(CARTÕES!$E48/CARTÕES!$F48,0),ROUND(CARTÕES!$E48/CARTÕES!$F48,0)))</f>
        <v/>
      </c>
      <c r="BC48" s="57">
        <f>IF(S48=0,0,IF(17=CARTÕES!$F48,CARTÕES!$E48-(CARTÕES!$F48-1)*ROUND(CARTÕES!$E48/CARTÕES!$F48,0),ROUND(CARTÕES!$E48/CARTÕES!$F48,0)))</f>
        <v/>
      </c>
      <c r="BD48" s="57">
        <f>IF(T48=0,0,IF(18=CARTÕES!$F48,CARTÕES!$E48-(CARTÕES!$F48-1)*ROUND(CARTÕES!$E48/CARTÕES!$F48,0),ROUND(CARTÕES!$E48/CARTÕES!$F48,0)))</f>
        <v/>
      </c>
      <c r="BE48" s="57">
        <f>IF(U48=0,0,IF(19=CARTÕES!$F48,CARTÕES!$E48-(CARTÕES!$F48-1)*ROUND(CARTÕES!$E48/CARTÕES!$F48,0),ROUND(CARTÕES!$E48/CARTÕES!$F48,0)))</f>
        <v/>
      </c>
      <c r="BF48" s="57">
        <f>IF(V48=0,0,IF(20=CARTÕES!$F48,CARTÕES!$E48-(CARTÕES!$F48-1)*ROUND(CARTÕES!$E48/CARTÕES!$F48,0),ROUND(CARTÕES!$E48/CARTÕES!$F48,0)))</f>
        <v/>
      </c>
      <c r="BG48" s="57">
        <f>IF(W48=0,0,IF(21=CARTÕES!$F48,CARTÕES!$E48-(CARTÕES!$F48-1)*ROUND(CARTÕES!$E48/CARTÕES!$F48,0),ROUND(CARTÕES!$E48/CARTÕES!$F48,0)))</f>
        <v/>
      </c>
      <c r="BH48" s="57">
        <f>IF(X48=0,0,IF(22=CARTÕES!$F48,CARTÕES!$E48-(CARTÕES!$F48-1)*ROUND(CARTÕES!$E48/CARTÕES!$F48,0),ROUND(CARTÕES!$E48/CARTÕES!$F48,0)))</f>
        <v/>
      </c>
      <c r="BI48" s="57">
        <f>IF(Y48=0,0,IF(23=CARTÕES!$F48,CARTÕES!$E48-(CARTÕES!$F48-1)*ROUND(CARTÕES!$E48/CARTÕES!$F48,0),ROUND(CARTÕES!$E48/CARTÕES!$F48,0)))</f>
        <v/>
      </c>
      <c r="BJ48" s="57">
        <f>IF(Z48=0,0,IF(24=CARTÕES!$F48,CARTÕES!$E48-(CARTÕES!$F48-1)*ROUND(CARTÕES!$E48/CARTÕES!$F48,0),ROUND(CARTÕES!$E48/CARTÕES!$F48,0)))</f>
        <v/>
      </c>
      <c r="BK48" s="57">
        <f>IF(AA48=0,0,IF(25=CARTÕES!$F48,CARTÕES!$E48-(CARTÕES!$F48-1)*ROUND(CARTÕES!$E48/CARTÕES!$F48,0),ROUND(CARTÕES!$E48/CARTÕES!$F48,0)))</f>
        <v/>
      </c>
      <c r="BL48" s="57">
        <f>IF(AB48=0,0,IF(26=CARTÕES!$F48,CARTÕES!$E48-(CARTÕES!$F48-1)*ROUND(CARTÕES!$E48/CARTÕES!$F48,0),ROUND(CARTÕES!$E48/CARTÕES!$F48,0)))</f>
        <v/>
      </c>
      <c r="BM48" s="57">
        <f>IF(AC48=0,0,IF(27=CARTÕES!$F48,CARTÕES!$E48-(CARTÕES!$F48-1)*ROUND(CARTÕES!$E48/CARTÕES!$F48,0),ROUND(CARTÕES!$E48/CARTÕES!$F48,0)))</f>
        <v/>
      </c>
      <c r="BN48" s="57">
        <f>IF(AD48=0,0,IF(28=CARTÕES!$F48,CARTÕES!$E48-(CARTÕES!$F48-1)*ROUND(CARTÕES!$E48/CARTÕES!$F48,0),ROUND(CARTÕES!$E48/CARTÕES!$F48,0)))</f>
        <v/>
      </c>
      <c r="BO48" s="57">
        <f>IF(AE48=0,0,IF(29=CARTÕES!$F48,CARTÕES!$E48-(CARTÕES!$F48-1)*ROUND(CARTÕES!$E48/CARTÕES!$F48,0),ROUND(CARTÕES!$E48/CARTÕES!$F48,0)))</f>
        <v/>
      </c>
      <c r="BP48" s="57">
        <f>IF(AF48=0,0,IF(30=CARTÕES!$F48,CARTÕES!$E48-(CARTÕES!$F48-1)*ROUND(CARTÕES!$E48/CARTÕES!$F48,0),ROUND(CARTÕES!$E48/CARTÕES!$F48,0)))</f>
        <v/>
      </c>
      <c r="BQ48" s="57">
        <f>IF(AG48=0,0,IF(31=CARTÕES!$F48,CARTÕES!$E48-(CARTÕES!$F48-1)*ROUND(CARTÕES!$E48/CARTÕES!$F48,0),ROUND(CARTÕES!$E48/CARTÕES!$F48,0)))</f>
        <v/>
      </c>
      <c r="BR48" s="57">
        <f>IF(AH48=0,0,IF(32=CARTÕES!$F48,CARTÕES!$E48-(CARTÕES!$F48-1)*ROUND(CARTÕES!$E48/CARTÕES!$F48,0),ROUND(CARTÕES!$E48/CARTÕES!$F48,0)))</f>
        <v/>
      </c>
      <c r="BS48" s="57">
        <f>IF(AI48=0,0,IF(33=CARTÕES!$F48,CARTÕES!$E48-(CARTÕES!$F48-1)*ROUND(CARTÕES!$E48/CARTÕES!$F48,0),ROUND(CARTÕES!$E48/CARTÕES!$F48,0)))</f>
        <v/>
      </c>
      <c r="BT48" s="57">
        <f>IF(AJ48=0,0,IF(34=CARTÕES!$F48,CARTÕES!$E48-(CARTÕES!$F48-1)*ROUND(CARTÕES!$E48/CARTÕES!$F48,0),ROUND(CARTÕES!$E48/CARTÕES!$F48,0)))</f>
        <v/>
      </c>
      <c r="BU48" s="57">
        <f>IF(AK48=0,0,IF(35=CARTÕES!$F48,CARTÕES!$E48-(CARTÕES!$F48-1)*ROUND(CARTÕES!$E48/CARTÕES!$F48,0),ROUND(CARTÕES!$E48/CARTÕES!$F48,0)))</f>
        <v/>
      </c>
      <c r="BV48" s="57">
        <f>IF(AL48=0,0,IF(36=CARTÕES!$F48,CARTÕES!$E48-(CARTÕES!$F48-1)*ROUND(CARTÕES!$E48/CARTÕES!$F48,0),ROUND(CARTÕES!$E48/CARTÕES!$F48,0)))</f>
        <v/>
      </c>
    </row>
    <row r="49">
      <c r="A49" s="55">
        <f>IF(CARTÕES!$C49="","",CARTÕES!$C49)</f>
        <v/>
      </c>
      <c r="B49" s="56">
        <f>SUMPRODUCT((C49:AL49='RESUMO MENSAL'!$C$4)*AM49:BV49)</f>
        <v/>
      </c>
      <c r="C49" s="57">
        <f>IF(OR(CARTÕES!$K49=0,CARTÕES!$F49=""),0,IF(1&gt;CARTÕES!$F49,0,CARTÕES!$K49+1-1))</f>
        <v/>
      </c>
      <c r="D49" s="57">
        <f>IF(OR(CARTÕES!$K49=0,CARTÕES!$F49=""),0,IF(2&gt;CARTÕES!$F49,0,CARTÕES!$K49+2-1))</f>
        <v/>
      </c>
      <c r="E49" s="57">
        <f>IF(OR(CARTÕES!$K49=0,CARTÕES!$F49=""),0,IF(3&gt;CARTÕES!$F49,0,CARTÕES!$K49+3-1))</f>
        <v/>
      </c>
      <c r="F49" s="57">
        <f>IF(OR(CARTÕES!$K49=0,CARTÕES!$F49=""),0,IF(4&gt;CARTÕES!$F49,0,CARTÕES!$K49+4-1))</f>
        <v/>
      </c>
      <c r="G49" s="57">
        <f>IF(OR(CARTÕES!$K49=0,CARTÕES!$F49=""),0,IF(5&gt;CARTÕES!$F49,0,CARTÕES!$K49+5-1))</f>
        <v/>
      </c>
      <c r="H49" s="57">
        <f>IF(OR(CARTÕES!$K49=0,CARTÕES!$F49=""),0,IF(6&gt;CARTÕES!$F49,0,CARTÕES!$K49+6-1))</f>
        <v/>
      </c>
      <c r="I49" s="57">
        <f>IF(OR(CARTÕES!$K49=0,CARTÕES!$F49=""),0,IF(7&gt;CARTÕES!$F49,0,CARTÕES!$K49+7-1))</f>
        <v/>
      </c>
      <c r="J49" s="57">
        <f>IF(OR(CARTÕES!$K49=0,CARTÕES!$F49=""),0,IF(8&gt;CARTÕES!$F49,0,CARTÕES!$K49+8-1))</f>
        <v/>
      </c>
      <c r="K49" s="57">
        <f>IF(OR(CARTÕES!$K49=0,CARTÕES!$F49=""),0,IF(9&gt;CARTÕES!$F49,0,CARTÕES!$K49+9-1))</f>
        <v/>
      </c>
      <c r="L49" s="57">
        <f>IF(OR(CARTÕES!$K49=0,CARTÕES!$F49=""),0,IF(10&gt;CARTÕES!$F49,0,CARTÕES!$K49+10-1))</f>
        <v/>
      </c>
      <c r="M49" s="57">
        <f>IF(OR(CARTÕES!$K49=0,CARTÕES!$F49=""),0,IF(11&gt;CARTÕES!$F49,0,CARTÕES!$K49+11-1))</f>
        <v/>
      </c>
      <c r="N49" s="57">
        <f>IF(OR(CARTÕES!$K49=0,CARTÕES!$F49=""),0,IF(12&gt;CARTÕES!$F49,0,CARTÕES!$K49+12-1))</f>
        <v/>
      </c>
      <c r="O49" s="57">
        <f>IF(OR(CARTÕES!$K49=0,CARTÕES!$F49=""),0,IF(13&gt;CARTÕES!$F49,0,CARTÕES!$K49+13-1))</f>
        <v/>
      </c>
      <c r="P49" s="57">
        <f>IF(OR(CARTÕES!$K49=0,CARTÕES!$F49=""),0,IF(14&gt;CARTÕES!$F49,0,CARTÕES!$K49+14-1))</f>
        <v/>
      </c>
      <c r="Q49" s="57">
        <f>IF(OR(CARTÕES!$K49=0,CARTÕES!$F49=""),0,IF(15&gt;CARTÕES!$F49,0,CARTÕES!$K49+15-1))</f>
        <v/>
      </c>
      <c r="R49" s="57">
        <f>IF(OR(CARTÕES!$K49=0,CARTÕES!$F49=""),0,IF(16&gt;CARTÕES!$F49,0,CARTÕES!$K49+16-1))</f>
        <v/>
      </c>
      <c r="S49" s="57">
        <f>IF(OR(CARTÕES!$K49=0,CARTÕES!$F49=""),0,IF(17&gt;CARTÕES!$F49,0,CARTÕES!$K49+17-1))</f>
        <v/>
      </c>
      <c r="T49" s="57">
        <f>IF(OR(CARTÕES!$K49=0,CARTÕES!$F49=""),0,IF(18&gt;CARTÕES!$F49,0,CARTÕES!$K49+18-1))</f>
        <v/>
      </c>
      <c r="U49" s="57">
        <f>IF(OR(CARTÕES!$K49=0,CARTÕES!$F49=""),0,IF(19&gt;CARTÕES!$F49,0,CARTÕES!$K49+19-1))</f>
        <v/>
      </c>
      <c r="V49" s="57">
        <f>IF(OR(CARTÕES!$K49=0,CARTÕES!$F49=""),0,IF(20&gt;CARTÕES!$F49,0,CARTÕES!$K49+20-1))</f>
        <v/>
      </c>
      <c r="W49" s="57">
        <f>IF(OR(CARTÕES!$K49=0,CARTÕES!$F49=""),0,IF(21&gt;CARTÕES!$F49,0,CARTÕES!$K49+21-1))</f>
        <v/>
      </c>
      <c r="X49" s="57">
        <f>IF(OR(CARTÕES!$K49=0,CARTÕES!$F49=""),0,IF(22&gt;CARTÕES!$F49,0,CARTÕES!$K49+22-1))</f>
        <v/>
      </c>
      <c r="Y49" s="57">
        <f>IF(OR(CARTÕES!$K49=0,CARTÕES!$F49=""),0,IF(23&gt;CARTÕES!$F49,0,CARTÕES!$K49+23-1))</f>
        <v/>
      </c>
      <c r="Z49" s="57">
        <f>IF(OR(CARTÕES!$K49=0,CARTÕES!$F49=""),0,IF(24&gt;CARTÕES!$F49,0,CARTÕES!$K49+24-1))</f>
        <v/>
      </c>
      <c r="AA49" s="57">
        <f>IF(OR(CARTÕES!$K49=0,CARTÕES!$F49=""),0,IF(25&gt;CARTÕES!$F49,0,CARTÕES!$K49+25-1))</f>
        <v/>
      </c>
      <c r="AB49" s="57">
        <f>IF(OR(CARTÕES!$K49=0,CARTÕES!$F49=""),0,IF(26&gt;CARTÕES!$F49,0,CARTÕES!$K49+26-1))</f>
        <v/>
      </c>
      <c r="AC49" s="57">
        <f>IF(OR(CARTÕES!$K49=0,CARTÕES!$F49=""),0,IF(27&gt;CARTÕES!$F49,0,CARTÕES!$K49+27-1))</f>
        <v/>
      </c>
      <c r="AD49" s="57">
        <f>IF(OR(CARTÕES!$K49=0,CARTÕES!$F49=""),0,IF(28&gt;CARTÕES!$F49,0,CARTÕES!$K49+28-1))</f>
        <v/>
      </c>
      <c r="AE49" s="57">
        <f>IF(OR(CARTÕES!$K49=0,CARTÕES!$F49=""),0,IF(29&gt;CARTÕES!$F49,0,CARTÕES!$K49+29-1))</f>
        <v/>
      </c>
      <c r="AF49" s="57">
        <f>IF(OR(CARTÕES!$K49=0,CARTÕES!$F49=""),0,IF(30&gt;CARTÕES!$F49,0,CARTÕES!$K49+30-1))</f>
        <v/>
      </c>
      <c r="AG49" s="57">
        <f>IF(OR(CARTÕES!$K49=0,CARTÕES!$F49=""),0,IF(31&gt;CARTÕES!$F49,0,CARTÕES!$K49+31-1))</f>
        <v/>
      </c>
      <c r="AH49" s="57">
        <f>IF(OR(CARTÕES!$K49=0,CARTÕES!$F49=""),0,IF(32&gt;CARTÕES!$F49,0,CARTÕES!$K49+32-1))</f>
        <v/>
      </c>
      <c r="AI49" s="57">
        <f>IF(OR(CARTÕES!$K49=0,CARTÕES!$F49=""),0,IF(33&gt;CARTÕES!$F49,0,CARTÕES!$K49+33-1))</f>
        <v/>
      </c>
      <c r="AJ49" s="57">
        <f>IF(OR(CARTÕES!$K49=0,CARTÕES!$F49=""),0,IF(34&gt;CARTÕES!$F49,0,CARTÕES!$K49+34-1))</f>
        <v/>
      </c>
      <c r="AK49" s="57">
        <f>IF(OR(CARTÕES!$K49=0,CARTÕES!$F49=""),0,IF(35&gt;CARTÕES!$F49,0,CARTÕES!$K49+35-1))</f>
        <v/>
      </c>
      <c r="AL49" s="57">
        <f>IF(OR(CARTÕES!$K49=0,CARTÕES!$F49=""),0,IF(36&gt;CARTÕES!$F49,0,CARTÕES!$K49+36-1))</f>
        <v/>
      </c>
      <c r="AM49" s="57">
        <f>IF(C49=0,0,IF(1=CARTÕES!$F49,CARTÕES!$E49-(CARTÕES!$F49-1)*ROUND(CARTÕES!$E49/CARTÕES!$F49,0),ROUND(CARTÕES!$E49/CARTÕES!$F49,0)))</f>
        <v/>
      </c>
      <c r="AN49" s="57">
        <f>IF(D49=0,0,IF(2=CARTÕES!$F49,CARTÕES!$E49-(CARTÕES!$F49-1)*ROUND(CARTÕES!$E49/CARTÕES!$F49,0),ROUND(CARTÕES!$E49/CARTÕES!$F49,0)))</f>
        <v/>
      </c>
      <c r="AO49" s="57">
        <f>IF(E49=0,0,IF(3=CARTÕES!$F49,CARTÕES!$E49-(CARTÕES!$F49-1)*ROUND(CARTÕES!$E49/CARTÕES!$F49,0),ROUND(CARTÕES!$E49/CARTÕES!$F49,0)))</f>
        <v/>
      </c>
      <c r="AP49" s="57">
        <f>IF(F49=0,0,IF(4=CARTÕES!$F49,CARTÕES!$E49-(CARTÕES!$F49-1)*ROUND(CARTÕES!$E49/CARTÕES!$F49,0),ROUND(CARTÕES!$E49/CARTÕES!$F49,0)))</f>
        <v/>
      </c>
      <c r="AQ49" s="57">
        <f>IF(G49=0,0,IF(5=CARTÕES!$F49,CARTÕES!$E49-(CARTÕES!$F49-1)*ROUND(CARTÕES!$E49/CARTÕES!$F49,0),ROUND(CARTÕES!$E49/CARTÕES!$F49,0)))</f>
        <v/>
      </c>
      <c r="AR49" s="57">
        <f>IF(H49=0,0,IF(6=CARTÕES!$F49,CARTÕES!$E49-(CARTÕES!$F49-1)*ROUND(CARTÕES!$E49/CARTÕES!$F49,0),ROUND(CARTÕES!$E49/CARTÕES!$F49,0)))</f>
        <v/>
      </c>
      <c r="AS49" s="57">
        <f>IF(I49=0,0,IF(7=CARTÕES!$F49,CARTÕES!$E49-(CARTÕES!$F49-1)*ROUND(CARTÕES!$E49/CARTÕES!$F49,0),ROUND(CARTÕES!$E49/CARTÕES!$F49,0)))</f>
        <v/>
      </c>
      <c r="AT49" s="57">
        <f>IF(J49=0,0,IF(8=CARTÕES!$F49,CARTÕES!$E49-(CARTÕES!$F49-1)*ROUND(CARTÕES!$E49/CARTÕES!$F49,0),ROUND(CARTÕES!$E49/CARTÕES!$F49,0)))</f>
        <v/>
      </c>
      <c r="AU49" s="57">
        <f>IF(K49=0,0,IF(9=CARTÕES!$F49,CARTÕES!$E49-(CARTÕES!$F49-1)*ROUND(CARTÕES!$E49/CARTÕES!$F49,0),ROUND(CARTÕES!$E49/CARTÕES!$F49,0)))</f>
        <v/>
      </c>
      <c r="AV49" s="57">
        <f>IF(L49=0,0,IF(10=CARTÕES!$F49,CARTÕES!$E49-(CARTÕES!$F49-1)*ROUND(CARTÕES!$E49/CARTÕES!$F49,0),ROUND(CARTÕES!$E49/CARTÕES!$F49,0)))</f>
        <v/>
      </c>
      <c r="AW49" s="57">
        <f>IF(M49=0,0,IF(11=CARTÕES!$F49,CARTÕES!$E49-(CARTÕES!$F49-1)*ROUND(CARTÕES!$E49/CARTÕES!$F49,0),ROUND(CARTÕES!$E49/CARTÕES!$F49,0)))</f>
        <v/>
      </c>
      <c r="AX49" s="57">
        <f>IF(N49=0,0,IF(12=CARTÕES!$F49,CARTÕES!$E49-(CARTÕES!$F49-1)*ROUND(CARTÕES!$E49/CARTÕES!$F49,0),ROUND(CARTÕES!$E49/CARTÕES!$F49,0)))</f>
        <v/>
      </c>
      <c r="AY49" s="57">
        <f>IF(O49=0,0,IF(13=CARTÕES!$F49,CARTÕES!$E49-(CARTÕES!$F49-1)*ROUND(CARTÕES!$E49/CARTÕES!$F49,0),ROUND(CARTÕES!$E49/CARTÕES!$F49,0)))</f>
        <v/>
      </c>
      <c r="AZ49" s="57">
        <f>IF(P49=0,0,IF(14=CARTÕES!$F49,CARTÕES!$E49-(CARTÕES!$F49-1)*ROUND(CARTÕES!$E49/CARTÕES!$F49,0),ROUND(CARTÕES!$E49/CARTÕES!$F49,0)))</f>
        <v/>
      </c>
      <c r="BA49" s="57">
        <f>IF(Q49=0,0,IF(15=CARTÕES!$F49,CARTÕES!$E49-(CARTÕES!$F49-1)*ROUND(CARTÕES!$E49/CARTÕES!$F49,0),ROUND(CARTÕES!$E49/CARTÕES!$F49,0)))</f>
        <v/>
      </c>
      <c r="BB49" s="57">
        <f>IF(R49=0,0,IF(16=CARTÕES!$F49,CARTÕES!$E49-(CARTÕES!$F49-1)*ROUND(CARTÕES!$E49/CARTÕES!$F49,0),ROUND(CARTÕES!$E49/CARTÕES!$F49,0)))</f>
        <v/>
      </c>
      <c r="BC49" s="57">
        <f>IF(S49=0,0,IF(17=CARTÕES!$F49,CARTÕES!$E49-(CARTÕES!$F49-1)*ROUND(CARTÕES!$E49/CARTÕES!$F49,0),ROUND(CARTÕES!$E49/CARTÕES!$F49,0)))</f>
        <v/>
      </c>
      <c r="BD49" s="57">
        <f>IF(T49=0,0,IF(18=CARTÕES!$F49,CARTÕES!$E49-(CARTÕES!$F49-1)*ROUND(CARTÕES!$E49/CARTÕES!$F49,0),ROUND(CARTÕES!$E49/CARTÕES!$F49,0)))</f>
        <v/>
      </c>
      <c r="BE49" s="57">
        <f>IF(U49=0,0,IF(19=CARTÕES!$F49,CARTÕES!$E49-(CARTÕES!$F49-1)*ROUND(CARTÕES!$E49/CARTÕES!$F49,0),ROUND(CARTÕES!$E49/CARTÕES!$F49,0)))</f>
        <v/>
      </c>
      <c r="BF49" s="57">
        <f>IF(V49=0,0,IF(20=CARTÕES!$F49,CARTÕES!$E49-(CARTÕES!$F49-1)*ROUND(CARTÕES!$E49/CARTÕES!$F49,0),ROUND(CARTÕES!$E49/CARTÕES!$F49,0)))</f>
        <v/>
      </c>
      <c r="BG49" s="57">
        <f>IF(W49=0,0,IF(21=CARTÕES!$F49,CARTÕES!$E49-(CARTÕES!$F49-1)*ROUND(CARTÕES!$E49/CARTÕES!$F49,0),ROUND(CARTÕES!$E49/CARTÕES!$F49,0)))</f>
        <v/>
      </c>
      <c r="BH49" s="57">
        <f>IF(X49=0,0,IF(22=CARTÕES!$F49,CARTÕES!$E49-(CARTÕES!$F49-1)*ROUND(CARTÕES!$E49/CARTÕES!$F49,0),ROUND(CARTÕES!$E49/CARTÕES!$F49,0)))</f>
        <v/>
      </c>
      <c r="BI49" s="57">
        <f>IF(Y49=0,0,IF(23=CARTÕES!$F49,CARTÕES!$E49-(CARTÕES!$F49-1)*ROUND(CARTÕES!$E49/CARTÕES!$F49,0),ROUND(CARTÕES!$E49/CARTÕES!$F49,0)))</f>
        <v/>
      </c>
      <c r="BJ49" s="57">
        <f>IF(Z49=0,0,IF(24=CARTÕES!$F49,CARTÕES!$E49-(CARTÕES!$F49-1)*ROUND(CARTÕES!$E49/CARTÕES!$F49,0),ROUND(CARTÕES!$E49/CARTÕES!$F49,0)))</f>
        <v/>
      </c>
      <c r="BK49" s="57">
        <f>IF(AA49=0,0,IF(25=CARTÕES!$F49,CARTÕES!$E49-(CARTÕES!$F49-1)*ROUND(CARTÕES!$E49/CARTÕES!$F49,0),ROUND(CARTÕES!$E49/CARTÕES!$F49,0)))</f>
        <v/>
      </c>
      <c r="BL49" s="57">
        <f>IF(AB49=0,0,IF(26=CARTÕES!$F49,CARTÕES!$E49-(CARTÕES!$F49-1)*ROUND(CARTÕES!$E49/CARTÕES!$F49,0),ROUND(CARTÕES!$E49/CARTÕES!$F49,0)))</f>
        <v/>
      </c>
      <c r="BM49" s="57">
        <f>IF(AC49=0,0,IF(27=CARTÕES!$F49,CARTÕES!$E49-(CARTÕES!$F49-1)*ROUND(CARTÕES!$E49/CARTÕES!$F49,0),ROUND(CARTÕES!$E49/CARTÕES!$F49,0)))</f>
        <v/>
      </c>
      <c r="BN49" s="57">
        <f>IF(AD49=0,0,IF(28=CARTÕES!$F49,CARTÕES!$E49-(CARTÕES!$F49-1)*ROUND(CARTÕES!$E49/CARTÕES!$F49,0),ROUND(CARTÕES!$E49/CARTÕES!$F49,0)))</f>
        <v/>
      </c>
      <c r="BO49" s="57">
        <f>IF(AE49=0,0,IF(29=CARTÕES!$F49,CARTÕES!$E49-(CARTÕES!$F49-1)*ROUND(CARTÕES!$E49/CARTÕES!$F49,0),ROUND(CARTÕES!$E49/CARTÕES!$F49,0)))</f>
        <v/>
      </c>
      <c r="BP49" s="57">
        <f>IF(AF49=0,0,IF(30=CARTÕES!$F49,CARTÕES!$E49-(CARTÕES!$F49-1)*ROUND(CARTÕES!$E49/CARTÕES!$F49,0),ROUND(CARTÕES!$E49/CARTÕES!$F49,0)))</f>
        <v/>
      </c>
      <c r="BQ49" s="57">
        <f>IF(AG49=0,0,IF(31=CARTÕES!$F49,CARTÕES!$E49-(CARTÕES!$F49-1)*ROUND(CARTÕES!$E49/CARTÕES!$F49,0),ROUND(CARTÕES!$E49/CARTÕES!$F49,0)))</f>
        <v/>
      </c>
      <c r="BR49" s="57">
        <f>IF(AH49=0,0,IF(32=CARTÕES!$F49,CARTÕES!$E49-(CARTÕES!$F49-1)*ROUND(CARTÕES!$E49/CARTÕES!$F49,0),ROUND(CARTÕES!$E49/CARTÕES!$F49,0)))</f>
        <v/>
      </c>
      <c r="BS49" s="57">
        <f>IF(AI49=0,0,IF(33=CARTÕES!$F49,CARTÕES!$E49-(CARTÕES!$F49-1)*ROUND(CARTÕES!$E49/CARTÕES!$F49,0),ROUND(CARTÕES!$E49/CARTÕES!$F49,0)))</f>
        <v/>
      </c>
      <c r="BT49" s="57">
        <f>IF(AJ49=0,0,IF(34=CARTÕES!$F49,CARTÕES!$E49-(CARTÕES!$F49-1)*ROUND(CARTÕES!$E49/CARTÕES!$F49,0),ROUND(CARTÕES!$E49/CARTÕES!$F49,0)))</f>
        <v/>
      </c>
      <c r="BU49" s="57">
        <f>IF(AK49=0,0,IF(35=CARTÕES!$F49,CARTÕES!$E49-(CARTÕES!$F49-1)*ROUND(CARTÕES!$E49/CARTÕES!$F49,0),ROUND(CARTÕES!$E49/CARTÕES!$F49,0)))</f>
        <v/>
      </c>
      <c r="BV49" s="57">
        <f>IF(AL49=0,0,IF(36=CARTÕES!$F49,CARTÕES!$E49-(CARTÕES!$F49-1)*ROUND(CARTÕES!$E49/CARTÕES!$F49,0),ROUND(CARTÕES!$E49/CARTÕES!$F49,0)))</f>
        <v/>
      </c>
    </row>
    <row r="50">
      <c r="A50" s="55">
        <f>IF(CARTÕES!$C50="","",CARTÕES!$C50)</f>
        <v/>
      </c>
      <c r="B50" s="56">
        <f>SUMPRODUCT((C50:AL50='RESUMO MENSAL'!$C$4)*AM50:BV50)</f>
        <v/>
      </c>
      <c r="C50" s="57">
        <f>IF(OR(CARTÕES!$K50=0,CARTÕES!$F50=""),0,IF(1&gt;CARTÕES!$F50,0,CARTÕES!$K50+1-1))</f>
        <v/>
      </c>
      <c r="D50" s="57">
        <f>IF(OR(CARTÕES!$K50=0,CARTÕES!$F50=""),0,IF(2&gt;CARTÕES!$F50,0,CARTÕES!$K50+2-1))</f>
        <v/>
      </c>
      <c r="E50" s="57">
        <f>IF(OR(CARTÕES!$K50=0,CARTÕES!$F50=""),0,IF(3&gt;CARTÕES!$F50,0,CARTÕES!$K50+3-1))</f>
        <v/>
      </c>
      <c r="F50" s="57">
        <f>IF(OR(CARTÕES!$K50=0,CARTÕES!$F50=""),0,IF(4&gt;CARTÕES!$F50,0,CARTÕES!$K50+4-1))</f>
        <v/>
      </c>
      <c r="G50" s="57">
        <f>IF(OR(CARTÕES!$K50=0,CARTÕES!$F50=""),0,IF(5&gt;CARTÕES!$F50,0,CARTÕES!$K50+5-1))</f>
        <v/>
      </c>
      <c r="H50" s="57">
        <f>IF(OR(CARTÕES!$K50=0,CARTÕES!$F50=""),0,IF(6&gt;CARTÕES!$F50,0,CARTÕES!$K50+6-1))</f>
        <v/>
      </c>
      <c r="I50" s="57">
        <f>IF(OR(CARTÕES!$K50=0,CARTÕES!$F50=""),0,IF(7&gt;CARTÕES!$F50,0,CARTÕES!$K50+7-1))</f>
        <v/>
      </c>
      <c r="J50" s="57">
        <f>IF(OR(CARTÕES!$K50=0,CARTÕES!$F50=""),0,IF(8&gt;CARTÕES!$F50,0,CARTÕES!$K50+8-1))</f>
        <v/>
      </c>
      <c r="K50" s="57">
        <f>IF(OR(CARTÕES!$K50=0,CARTÕES!$F50=""),0,IF(9&gt;CARTÕES!$F50,0,CARTÕES!$K50+9-1))</f>
        <v/>
      </c>
      <c r="L50" s="57">
        <f>IF(OR(CARTÕES!$K50=0,CARTÕES!$F50=""),0,IF(10&gt;CARTÕES!$F50,0,CARTÕES!$K50+10-1))</f>
        <v/>
      </c>
      <c r="M50" s="57">
        <f>IF(OR(CARTÕES!$K50=0,CARTÕES!$F50=""),0,IF(11&gt;CARTÕES!$F50,0,CARTÕES!$K50+11-1))</f>
        <v/>
      </c>
      <c r="N50" s="57">
        <f>IF(OR(CARTÕES!$K50=0,CARTÕES!$F50=""),0,IF(12&gt;CARTÕES!$F50,0,CARTÕES!$K50+12-1))</f>
        <v/>
      </c>
      <c r="O50" s="57">
        <f>IF(OR(CARTÕES!$K50=0,CARTÕES!$F50=""),0,IF(13&gt;CARTÕES!$F50,0,CARTÕES!$K50+13-1))</f>
        <v/>
      </c>
      <c r="P50" s="57">
        <f>IF(OR(CARTÕES!$K50=0,CARTÕES!$F50=""),0,IF(14&gt;CARTÕES!$F50,0,CARTÕES!$K50+14-1))</f>
        <v/>
      </c>
      <c r="Q50" s="57">
        <f>IF(OR(CARTÕES!$K50=0,CARTÕES!$F50=""),0,IF(15&gt;CARTÕES!$F50,0,CARTÕES!$K50+15-1))</f>
        <v/>
      </c>
      <c r="R50" s="57">
        <f>IF(OR(CARTÕES!$K50=0,CARTÕES!$F50=""),0,IF(16&gt;CARTÕES!$F50,0,CARTÕES!$K50+16-1))</f>
        <v/>
      </c>
      <c r="S50" s="57">
        <f>IF(OR(CARTÕES!$K50=0,CARTÕES!$F50=""),0,IF(17&gt;CARTÕES!$F50,0,CARTÕES!$K50+17-1))</f>
        <v/>
      </c>
      <c r="T50" s="57">
        <f>IF(OR(CARTÕES!$K50=0,CARTÕES!$F50=""),0,IF(18&gt;CARTÕES!$F50,0,CARTÕES!$K50+18-1))</f>
        <v/>
      </c>
      <c r="U50" s="57">
        <f>IF(OR(CARTÕES!$K50=0,CARTÕES!$F50=""),0,IF(19&gt;CARTÕES!$F50,0,CARTÕES!$K50+19-1))</f>
        <v/>
      </c>
      <c r="V50" s="57">
        <f>IF(OR(CARTÕES!$K50=0,CARTÕES!$F50=""),0,IF(20&gt;CARTÕES!$F50,0,CARTÕES!$K50+20-1))</f>
        <v/>
      </c>
      <c r="W50" s="57">
        <f>IF(OR(CARTÕES!$K50=0,CARTÕES!$F50=""),0,IF(21&gt;CARTÕES!$F50,0,CARTÕES!$K50+21-1))</f>
        <v/>
      </c>
      <c r="X50" s="57">
        <f>IF(OR(CARTÕES!$K50=0,CARTÕES!$F50=""),0,IF(22&gt;CARTÕES!$F50,0,CARTÕES!$K50+22-1))</f>
        <v/>
      </c>
      <c r="Y50" s="57">
        <f>IF(OR(CARTÕES!$K50=0,CARTÕES!$F50=""),0,IF(23&gt;CARTÕES!$F50,0,CARTÕES!$K50+23-1))</f>
        <v/>
      </c>
      <c r="Z50" s="57">
        <f>IF(OR(CARTÕES!$K50=0,CARTÕES!$F50=""),0,IF(24&gt;CARTÕES!$F50,0,CARTÕES!$K50+24-1))</f>
        <v/>
      </c>
      <c r="AA50" s="57">
        <f>IF(OR(CARTÕES!$K50=0,CARTÕES!$F50=""),0,IF(25&gt;CARTÕES!$F50,0,CARTÕES!$K50+25-1))</f>
        <v/>
      </c>
      <c r="AB50" s="57">
        <f>IF(OR(CARTÕES!$K50=0,CARTÕES!$F50=""),0,IF(26&gt;CARTÕES!$F50,0,CARTÕES!$K50+26-1))</f>
        <v/>
      </c>
      <c r="AC50" s="57">
        <f>IF(OR(CARTÕES!$K50=0,CARTÕES!$F50=""),0,IF(27&gt;CARTÕES!$F50,0,CARTÕES!$K50+27-1))</f>
        <v/>
      </c>
      <c r="AD50" s="57">
        <f>IF(OR(CARTÕES!$K50=0,CARTÕES!$F50=""),0,IF(28&gt;CARTÕES!$F50,0,CARTÕES!$K50+28-1))</f>
        <v/>
      </c>
      <c r="AE50" s="57">
        <f>IF(OR(CARTÕES!$K50=0,CARTÕES!$F50=""),0,IF(29&gt;CARTÕES!$F50,0,CARTÕES!$K50+29-1))</f>
        <v/>
      </c>
      <c r="AF50" s="57">
        <f>IF(OR(CARTÕES!$K50=0,CARTÕES!$F50=""),0,IF(30&gt;CARTÕES!$F50,0,CARTÕES!$K50+30-1))</f>
        <v/>
      </c>
      <c r="AG50" s="57">
        <f>IF(OR(CARTÕES!$K50=0,CARTÕES!$F50=""),0,IF(31&gt;CARTÕES!$F50,0,CARTÕES!$K50+31-1))</f>
        <v/>
      </c>
      <c r="AH50" s="57">
        <f>IF(OR(CARTÕES!$K50=0,CARTÕES!$F50=""),0,IF(32&gt;CARTÕES!$F50,0,CARTÕES!$K50+32-1))</f>
        <v/>
      </c>
      <c r="AI50" s="57">
        <f>IF(OR(CARTÕES!$K50=0,CARTÕES!$F50=""),0,IF(33&gt;CARTÕES!$F50,0,CARTÕES!$K50+33-1))</f>
        <v/>
      </c>
      <c r="AJ50" s="57">
        <f>IF(OR(CARTÕES!$K50=0,CARTÕES!$F50=""),0,IF(34&gt;CARTÕES!$F50,0,CARTÕES!$K50+34-1))</f>
        <v/>
      </c>
      <c r="AK50" s="57">
        <f>IF(OR(CARTÕES!$K50=0,CARTÕES!$F50=""),0,IF(35&gt;CARTÕES!$F50,0,CARTÕES!$K50+35-1))</f>
        <v/>
      </c>
      <c r="AL50" s="57">
        <f>IF(OR(CARTÕES!$K50=0,CARTÕES!$F50=""),0,IF(36&gt;CARTÕES!$F50,0,CARTÕES!$K50+36-1))</f>
        <v/>
      </c>
      <c r="AM50" s="57">
        <f>IF(C50=0,0,IF(1=CARTÕES!$F50,CARTÕES!$E50-(CARTÕES!$F50-1)*ROUND(CARTÕES!$E50/CARTÕES!$F50,0),ROUND(CARTÕES!$E50/CARTÕES!$F50,0)))</f>
        <v/>
      </c>
      <c r="AN50" s="57">
        <f>IF(D50=0,0,IF(2=CARTÕES!$F50,CARTÕES!$E50-(CARTÕES!$F50-1)*ROUND(CARTÕES!$E50/CARTÕES!$F50,0),ROUND(CARTÕES!$E50/CARTÕES!$F50,0)))</f>
        <v/>
      </c>
      <c r="AO50" s="57">
        <f>IF(E50=0,0,IF(3=CARTÕES!$F50,CARTÕES!$E50-(CARTÕES!$F50-1)*ROUND(CARTÕES!$E50/CARTÕES!$F50,0),ROUND(CARTÕES!$E50/CARTÕES!$F50,0)))</f>
        <v/>
      </c>
      <c r="AP50" s="57">
        <f>IF(F50=0,0,IF(4=CARTÕES!$F50,CARTÕES!$E50-(CARTÕES!$F50-1)*ROUND(CARTÕES!$E50/CARTÕES!$F50,0),ROUND(CARTÕES!$E50/CARTÕES!$F50,0)))</f>
        <v/>
      </c>
      <c r="AQ50" s="57">
        <f>IF(G50=0,0,IF(5=CARTÕES!$F50,CARTÕES!$E50-(CARTÕES!$F50-1)*ROUND(CARTÕES!$E50/CARTÕES!$F50,0),ROUND(CARTÕES!$E50/CARTÕES!$F50,0)))</f>
        <v/>
      </c>
      <c r="AR50" s="57">
        <f>IF(H50=0,0,IF(6=CARTÕES!$F50,CARTÕES!$E50-(CARTÕES!$F50-1)*ROUND(CARTÕES!$E50/CARTÕES!$F50,0),ROUND(CARTÕES!$E50/CARTÕES!$F50,0)))</f>
        <v/>
      </c>
      <c r="AS50" s="57">
        <f>IF(I50=0,0,IF(7=CARTÕES!$F50,CARTÕES!$E50-(CARTÕES!$F50-1)*ROUND(CARTÕES!$E50/CARTÕES!$F50,0),ROUND(CARTÕES!$E50/CARTÕES!$F50,0)))</f>
        <v/>
      </c>
      <c r="AT50" s="57">
        <f>IF(J50=0,0,IF(8=CARTÕES!$F50,CARTÕES!$E50-(CARTÕES!$F50-1)*ROUND(CARTÕES!$E50/CARTÕES!$F50,0),ROUND(CARTÕES!$E50/CARTÕES!$F50,0)))</f>
        <v/>
      </c>
      <c r="AU50" s="57">
        <f>IF(K50=0,0,IF(9=CARTÕES!$F50,CARTÕES!$E50-(CARTÕES!$F50-1)*ROUND(CARTÕES!$E50/CARTÕES!$F50,0),ROUND(CARTÕES!$E50/CARTÕES!$F50,0)))</f>
        <v/>
      </c>
      <c r="AV50" s="57">
        <f>IF(L50=0,0,IF(10=CARTÕES!$F50,CARTÕES!$E50-(CARTÕES!$F50-1)*ROUND(CARTÕES!$E50/CARTÕES!$F50,0),ROUND(CARTÕES!$E50/CARTÕES!$F50,0)))</f>
        <v/>
      </c>
      <c r="AW50" s="57">
        <f>IF(M50=0,0,IF(11=CARTÕES!$F50,CARTÕES!$E50-(CARTÕES!$F50-1)*ROUND(CARTÕES!$E50/CARTÕES!$F50,0),ROUND(CARTÕES!$E50/CARTÕES!$F50,0)))</f>
        <v/>
      </c>
      <c r="AX50" s="57">
        <f>IF(N50=0,0,IF(12=CARTÕES!$F50,CARTÕES!$E50-(CARTÕES!$F50-1)*ROUND(CARTÕES!$E50/CARTÕES!$F50,0),ROUND(CARTÕES!$E50/CARTÕES!$F50,0)))</f>
        <v/>
      </c>
      <c r="AY50" s="57">
        <f>IF(O50=0,0,IF(13=CARTÕES!$F50,CARTÕES!$E50-(CARTÕES!$F50-1)*ROUND(CARTÕES!$E50/CARTÕES!$F50,0),ROUND(CARTÕES!$E50/CARTÕES!$F50,0)))</f>
        <v/>
      </c>
      <c r="AZ50" s="57">
        <f>IF(P50=0,0,IF(14=CARTÕES!$F50,CARTÕES!$E50-(CARTÕES!$F50-1)*ROUND(CARTÕES!$E50/CARTÕES!$F50,0),ROUND(CARTÕES!$E50/CARTÕES!$F50,0)))</f>
        <v/>
      </c>
      <c r="BA50" s="57">
        <f>IF(Q50=0,0,IF(15=CARTÕES!$F50,CARTÕES!$E50-(CARTÕES!$F50-1)*ROUND(CARTÕES!$E50/CARTÕES!$F50,0),ROUND(CARTÕES!$E50/CARTÕES!$F50,0)))</f>
        <v/>
      </c>
      <c r="BB50" s="57">
        <f>IF(R50=0,0,IF(16=CARTÕES!$F50,CARTÕES!$E50-(CARTÕES!$F50-1)*ROUND(CARTÕES!$E50/CARTÕES!$F50,0),ROUND(CARTÕES!$E50/CARTÕES!$F50,0)))</f>
        <v/>
      </c>
      <c r="BC50" s="57">
        <f>IF(S50=0,0,IF(17=CARTÕES!$F50,CARTÕES!$E50-(CARTÕES!$F50-1)*ROUND(CARTÕES!$E50/CARTÕES!$F50,0),ROUND(CARTÕES!$E50/CARTÕES!$F50,0)))</f>
        <v/>
      </c>
      <c r="BD50" s="57">
        <f>IF(T50=0,0,IF(18=CARTÕES!$F50,CARTÕES!$E50-(CARTÕES!$F50-1)*ROUND(CARTÕES!$E50/CARTÕES!$F50,0),ROUND(CARTÕES!$E50/CARTÕES!$F50,0)))</f>
        <v/>
      </c>
      <c r="BE50" s="57">
        <f>IF(U50=0,0,IF(19=CARTÕES!$F50,CARTÕES!$E50-(CARTÕES!$F50-1)*ROUND(CARTÕES!$E50/CARTÕES!$F50,0),ROUND(CARTÕES!$E50/CARTÕES!$F50,0)))</f>
        <v/>
      </c>
      <c r="BF50" s="57">
        <f>IF(V50=0,0,IF(20=CARTÕES!$F50,CARTÕES!$E50-(CARTÕES!$F50-1)*ROUND(CARTÕES!$E50/CARTÕES!$F50,0),ROUND(CARTÕES!$E50/CARTÕES!$F50,0)))</f>
        <v/>
      </c>
      <c r="BG50" s="57">
        <f>IF(W50=0,0,IF(21=CARTÕES!$F50,CARTÕES!$E50-(CARTÕES!$F50-1)*ROUND(CARTÕES!$E50/CARTÕES!$F50,0),ROUND(CARTÕES!$E50/CARTÕES!$F50,0)))</f>
        <v/>
      </c>
      <c r="BH50" s="57">
        <f>IF(X50=0,0,IF(22=CARTÕES!$F50,CARTÕES!$E50-(CARTÕES!$F50-1)*ROUND(CARTÕES!$E50/CARTÕES!$F50,0),ROUND(CARTÕES!$E50/CARTÕES!$F50,0)))</f>
        <v/>
      </c>
      <c r="BI50" s="57">
        <f>IF(Y50=0,0,IF(23=CARTÕES!$F50,CARTÕES!$E50-(CARTÕES!$F50-1)*ROUND(CARTÕES!$E50/CARTÕES!$F50,0),ROUND(CARTÕES!$E50/CARTÕES!$F50,0)))</f>
        <v/>
      </c>
      <c r="BJ50" s="57">
        <f>IF(Z50=0,0,IF(24=CARTÕES!$F50,CARTÕES!$E50-(CARTÕES!$F50-1)*ROUND(CARTÕES!$E50/CARTÕES!$F50,0),ROUND(CARTÕES!$E50/CARTÕES!$F50,0)))</f>
        <v/>
      </c>
      <c r="BK50" s="57">
        <f>IF(AA50=0,0,IF(25=CARTÕES!$F50,CARTÕES!$E50-(CARTÕES!$F50-1)*ROUND(CARTÕES!$E50/CARTÕES!$F50,0),ROUND(CARTÕES!$E50/CARTÕES!$F50,0)))</f>
        <v/>
      </c>
      <c r="BL50" s="57">
        <f>IF(AB50=0,0,IF(26=CARTÕES!$F50,CARTÕES!$E50-(CARTÕES!$F50-1)*ROUND(CARTÕES!$E50/CARTÕES!$F50,0),ROUND(CARTÕES!$E50/CARTÕES!$F50,0)))</f>
        <v/>
      </c>
      <c r="BM50" s="57">
        <f>IF(AC50=0,0,IF(27=CARTÕES!$F50,CARTÕES!$E50-(CARTÕES!$F50-1)*ROUND(CARTÕES!$E50/CARTÕES!$F50,0),ROUND(CARTÕES!$E50/CARTÕES!$F50,0)))</f>
        <v/>
      </c>
      <c r="BN50" s="57">
        <f>IF(AD50=0,0,IF(28=CARTÕES!$F50,CARTÕES!$E50-(CARTÕES!$F50-1)*ROUND(CARTÕES!$E50/CARTÕES!$F50,0),ROUND(CARTÕES!$E50/CARTÕES!$F50,0)))</f>
        <v/>
      </c>
      <c r="BO50" s="57">
        <f>IF(AE50=0,0,IF(29=CARTÕES!$F50,CARTÕES!$E50-(CARTÕES!$F50-1)*ROUND(CARTÕES!$E50/CARTÕES!$F50,0),ROUND(CARTÕES!$E50/CARTÕES!$F50,0)))</f>
        <v/>
      </c>
      <c r="BP50" s="57">
        <f>IF(AF50=0,0,IF(30=CARTÕES!$F50,CARTÕES!$E50-(CARTÕES!$F50-1)*ROUND(CARTÕES!$E50/CARTÕES!$F50,0),ROUND(CARTÕES!$E50/CARTÕES!$F50,0)))</f>
        <v/>
      </c>
      <c r="BQ50" s="57">
        <f>IF(AG50=0,0,IF(31=CARTÕES!$F50,CARTÕES!$E50-(CARTÕES!$F50-1)*ROUND(CARTÕES!$E50/CARTÕES!$F50,0),ROUND(CARTÕES!$E50/CARTÕES!$F50,0)))</f>
        <v/>
      </c>
      <c r="BR50" s="57">
        <f>IF(AH50=0,0,IF(32=CARTÕES!$F50,CARTÕES!$E50-(CARTÕES!$F50-1)*ROUND(CARTÕES!$E50/CARTÕES!$F50,0),ROUND(CARTÕES!$E50/CARTÕES!$F50,0)))</f>
        <v/>
      </c>
      <c r="BS50" s="57">
        <f>IF(AI50=0,0,IF(33=CARTÕES!$F50,CARTÕES!$E50-(CARTÕES!$F50-1)*ROUND(CARTÕES!$E50/CARTÕES!$F50,0),ROUND(CARTÕES!$E50/CARTÕES!$F50,0)))</f>
        <v/>
      </c>
      <c r="BT50" s="57">
        <f>IF(AJ50=0,0,IF(34=CARTÕES!$F50,CARTÕES!$E50-(CARTÕES!$F50-1)*ROUND(CARTÕES!$E50/CARTÕES!$F50,0),ROUND(CARTÕES!$E50/CARTÕES!$F50,0)))</f>
        <v/>
      </c>
      <c r="BU50" s="57">
        <f>IF(AK50=0,0,IF(35=CARTÕES!$F50,CARTÕES!$E50-(CARTÕES!$F50-1)*ROUND(CARTÕES!$E50/CARTÕES!$F50,0),ROUND(CARTÕES!$E50/CARTÕES!$F50,0)))</f>
        <v/>
      </c>
      <c r="BV50" s="57">
        <f>IF(AL50=0,0,IF(36=CARTÕES!$F50,CARTÕES!$E50-(CARTÕES!$F50-1)*ROUND(CARTÕES!$E50/CARTÕES!$F50,0),ROUND(CARTÕES!$E50/CARTÕES!$F50,0)))</f>
        <v/>
      </c>
    </row>
    <row r="51">
      <c r="A51" s="55">
        <f>IF(CARTÕES!$C51="","",CARTÕES!$C51)</f>
        <v/>
      </c>
      <c r="B51" s="56">
        <f>SUMPRODUCT((C51:AL51='RESUMO MENSAL'!$C$4)*AM51:BV51)</f>
        <v/>
      </c>
      <c r="C51" s="57">
        <f>IF(OR(CARTÕES!$K51=0,CARTÕES!$F51=""),0,IF(1&gt;CARTÕES!$F51,0,CARTÕES!$K51+1-1))</f>
        <v/>
      </c>
      <c r="D51" s="57">
        <f>IF(OR(CARTÕES!$K51=0,CARTÕES!$F51=""),0,IF(2&gt;CARTÕES!$F51,0,CARTÕES!$K51+2-1))</f>
        <v/>
      </c>
      <c r="E51" s="57">
        <f>IF(OR(CARTÕES!$K51=0,CARTÕES!$F51=""),0,IF(3&gt;CARTÕES!$F51,0,CARTÕES!$K51+3-1))</f>
        <v/>
      </c>
      <c r="F51" s="57">
        <f>IF(OR(CARTÕES!$K51=0,CARTÕES!$F51=""),0,IF(4&gt;CARTÕES!$F51,0,CARTÕES!$K51+4-1))</f>
        <v/>
      </c>
      <c r="G51" s="57">
        <f>IF(OR(CARTÕES!$K51=0,CARTÕES!$F51=""),0,IF(5&gt;CARTÕES!$F51,0,CARTÕES!$K51+5-1))</f>
        <v/>
      </c>
      <c r="H51" s="57">
        <f>IF(OR(CARTÕES!$K51=0,CARTÕES!$F51=""),0,IF(6&gt;CARTÕES!$F51,0,CARTÕES!$K51+6-1))</f>
        <v/>
      </c>
      <c r="I51" s="57">
        <f>IF(OR(CARTÕES!$K51=0,CARTÕES!$F51=""),0,IF(7&gt;CARTÕES!$F51,0,CARTÕES!$K51+7-1))</f>
        <v/>
      </c>
      <c r="J51" s="57">
        <f>IF(OR(CARTÕES!$K51=0,CARTÕES!$F51=""),0,IF(8&gt;CARTÕES!$F51,0,CARTÕES!$K51+8-1))</f>
        <v/>
      </c>
      <c r="K51" s="57">
        <f>IF(OR(CARTÕES!$K51=0,CARTÕES!$F51=""),0,IF(9&gt;CARTÕES!$F51,0,CARTÕES!$K51+9-1))</f>
        <v/>
      </c>
      <c r="L51" s="57">
        <f>IF(OR(CARTÕES!$K51=0,CARTÕES!$F51=""),0,IF(10&gt;CARTÕES!$F51,0,CARTÕES!$K51+10-1))</f>
        <v/>
      </c>
      <c r="M51" s="57">
        <f>IF(OR(CARTÕES!$K51=0,CARTÕES!$F51=""),0,IF(11&gt;CARTÕES!$F51,0,CARTÕES!$K51+11-1))</f>
        <v/>
      </c>
      <c r="N51" s="57">
        <f>IF(OR(CARTÕES!$K51=0,CARTÕES!$F51=""),0,IF(12&gt;CARTÕES!$F51,0,CARTÕES!$K51+12-1))</f>
        <v/>
      </c>
      <c r="O51" s="57">
        <f>IF(OR(CARTÕES!$K51=0,CARTÕES!$F51=""),0,IF(13&gt;CARTÕES!$F51,0,CARTÕES!$K51+13-1))</f>
        <v/>
      </c>
      <c r="P51" s="57">
        <f>IF(OR(CARTÕES!$K51=0,CARTÕES!$F51=""),0,IF(14&gt;CARTÕES!$F51,0,CARTÕES!$K51+14-1))</f>
        <v/>
      </c>
      <c r="Q51" s="57">
        <f>IF(OR(CARTÕES!$K51=0,CARTÕES!$F51=""),0,IF(15&gt;CARTÕES!$F51,0,CARTÕES!$K51+15-1))</f>
        <v/>
      </c>
      <c r="R51" s="57">
        <f>IF(OR(CARTÕES!$K51=0,CARTÕES!$F51=""),0,IF(16&gt;CARTÕES!$F51,0,CARTÕES!$K51+16-1))</f>
        <v/>
      </c>
      <c r="S51" s="57">
        <f>IF(OR(CARTÕES!$K51=0,CARTÕES!$F51=""),0,IF(17&gt;CARTÕES!$F51,0,CARTÕES!$K51+17-1))</f>
        <v/>
      </c>
      <c r="T51" s="57">
        <f>IF(OR(CARTÕES!$K51=0,CARTÕES!$F51=""),0,IF(18&gt;CARTÕES!$F51,0,CARTÕES!$K51+18-1))</f>
        <v/>
      </c>
      <c r="U51" s="57">
        <f>IF(OR(CARTÕES!$K51=0,CARTÕES!$F51=""),0,IF(19&gt;CARTÕES!$F51,0,CARTÕES!$K51+19-1))</f>
        <v/>
      </c>
      <c r="V51" s="57">
        <f>IF(OR(CARTÕES!$K51=0,CARTÕES!$F51=""),0,IF(20&gt;CARTÕES!$F51,0,CARTÕES!$K51+20-1))</f>
        <v/>
      </c>
      <c r="W51" s="57">
        <f>IF(OR(CARTÕES!$K51=0,CARTÕES!$F51=""),0,IF(21&gt;CARTÕES!$F51,0,CARTÕES!$K51+21-1))</f>
        <v/>
      </c>
      <c r="X51" s="57">
        <f>IF(OR(CARTÕES!$K51=0,CARTÕES!$F51=""),0,IF(22&gt;CARTÕES!$F51,0,CARTÕES!$K51+22-1))</f>
        <v/>
      </c>
      <c r="Y51" s="57">
        <f>IF(OR(CARTÕES!$K51=0,CARTÕES!$F51=""),0,IF(23&gt;CARTÕES!$F51,0,CARTÕES!$K51+23-1))</f>
        <v/>
      </c>
      <c r="Z51" s="57">
        <f>IF(OR(CARTÕES!$K51=0,CARTÕES!$F51=""),0,IF(24&gt;CARTÕES!$F51,0,CARTÕES!$K51+24-1))</f>
        <v/>
      </c>
      <c r="AA51" s="57">
        <f>IF(OR(CARTÕES!$K51=0,CARTÕES!$F51=""),0,IF(25&gt;CARTÕES!$F51,0,CARTÕES!$K51+25-1))</f>
        <v/>
      </c>
      <c r="AB51" s="57">
        <f>IF(OR(CARTÕES!$K51=0,CARTÕES!$F51=""),0,IF(26&gt;CARTÕES!$F51,0,CARTÕES!$K51+26-1))</f>
        <v/>
      </c>
      <c r="AC51" s="57">
        <f>IF(OR(CARTÕES!$K51=0,CARTÕES!$F51=""),0,IF(27&gt;CARTÕES!$F51,0,CARTÕES!$K51+27-1))</f>
        <v/>
      </c>
      <c r="AD51" s="57">
        <f>IF(OR(CARTÕES!$K51=0,CARTÕES!$F51=""),0,IF(28&gt;CARTÕES!$F51,0,CARTÕES!$K51+28-1))</f>
        <v/>
      </c>
      <c r="AE51" s="57">
        <f>IF(OR(CARTÕES!$K51=0,CARTÕES!$F51=""),0,IF(29&gt;CARTÕES!$F51,0,CARTÕES!$K51+29-1))</f>
        <v/>
      </c>
      <c r="AF51" s="57">
        <f>IF(OR(CARTÕES!$K51=0,CARTÕES!$F51=""),0,IF(30&gt;CARTÕES!$F51,0,CARTÕES!$K51+30-1))</f>
        <v/>
      </c>
      <c r="AG51" s="57">
        <f>IF(OR(CARTÕES!$K51=0,CARTÕES!$F51=""),0,IF(31&gt;CARTÕES!$F51,0,CARTÕES!$K51+31-1))</f>
        <v/>
      </c>
      <c r="AH51" s="57">
        <f>IF(OR(CARTÕES!$K51=0,CARTÕES!$F51=""),0,IF(32&gt;CARTÕES!$F51,0,CARTÕES!$K51+32-1))</f>
        <v/>
      </c>
      <c r="AI51" s="57">
        <f>IF(OR(CARTÕES!$K51=0,CARTÕES!$F51=""),0,IF(33&gt;CARTÕES!$F51,0,CARTÕES!$K51+33-1))</f>
        <v/>
      </c>
      <c r="AJ51" s="57">
        <f>IF(OR(CARTÕES!$K51=0,CARTÕES!$F51=""),0,IF(34&gt;CARTÕES!$F51,0,CARTÕES!$K51+34-1))</f>
        <v/>
      </c>
      <c r="AK51" s="57">
        <f>IF(OR(CARTÕES!$K51=0,CARTÕES!$F51=""),0,IF(35&gt;CARTÕES!$F51,0,CARTÕES!$K51+35-1))</f>
        <v/>
      </c>
      <c r="AL51" s="57">
        <f>IF(OR(CARTÕES!$K51=0,CARTÕES!$F51=""),0,IF(36&gt;CARTÕES!$F51,0,CARTÕES!$K51+36-1))</f>
        <v/>
      </c>
      <c r="AM51" s="57">
        <f>IF(C51=0,0,IF(1=CARTÕES!$F51,CARTÕES!$E51-(CARTÕES!$F51-1)*ROUND(CARTÕES!$E51/CARTÕES!$F51,0),ROUND(CARTÕES!$E51/CARTÕES!$F51,0)))</f>
        <v/>
      </c>
      <c r="AN51" s="57">
        <f>IF(D51=0,0,IF(2=CARTÕES!$F51,CARTÕES!$E51-(CARTÕES!$F51-1)*ROUND(CARTÕES!$E51/CARTÕES!$F51,0),ROUND(CARTÕES!$E51/CARTÕES!$F51,0)))</f>
        <v/>
      </c>
      <c r="AO51" s="57">
        <f>IF(E51=0,0,IF(3=CARTÕES!$F51,CARTÕES!$E51-(CARTÕES!$F51-1)*ROUND(CARTÕES!$E51/CARTÕES!$F51,0),ROUND(CARTÕES!$E51/CARTÕES!$F51,0)))</f>
        <v/>
      </c>
      <c r="AP51" s="57">
        <f>IF(F51=0,0,IF(4=CARTÕES!$F51,CARTÕES!$E51-(CARTÕES!$F51-1)*ROUND(CARTÕES!$E51/CARTÕES!$F51,0),ROUND(CARTÕES!$E51/CARTÕES!$F51,0)))</f>
        <v/>
      </c>
      <c r="AQ51" s="57">
        <f>IF(G51=0,0,IF(5=CARTÕES!$F51,CARTÕES!$E51-(CARTÕES!$F51-1)*ROUND(CARTÕES!$E51/CARTÕES!$F51,0),ROUND(CARTÕES!$E51/CARTÕES!$F51,0)))</f>
        <v/>
      </c>
      <c r="AR51" s="57">
        <f>IF(H51=0,0,IF(6=CARTÕES!$F51,CARTÕES!$E51-(CARTÕES!$F51-1)*ROUND(CARTÕES!$E51/CARTÕES!$F51,0),ROUND(CARTÕES!$E51/CARTÕES!$F51,0)))</f>
        <v/>
      </c>
      <c r="AS51" s="57">
        <f>IF(I51=0,0,IF(7=CARTÕES!$F51,CARTÕES!$E51-(CARTÕES!$F51-1)*ROUND(CARTÕES!$E51/CARTÕES!$F51,0),ROUND(CARTÕES!$E51/CARTÕES!$F51,0)))</f>
        <v/>
      </c>
      <c r="AT51" s="57">
        <f>IF(J51=0,0,IF(8=CARTÕES!$F51,CARTÕES!$E51-(CARTÕES!$F51-1)*ROUND(CARTÕES!$E51/CARTÕES!$F51,0),ROUND(CARTÕES!$E51/CARTÕES!$F51,0)))</f>
        <v/>
      </c>
      <c r="AU51" s="57">
        <f>IF(K51=0,0,IF(9=CARTÕES!$F51,CARTÕES!$E51-(CARTÕES!$F51-1)*ROUND(CARTÕES!$E51/CARTÕES!$F51,0),ROUND(CARTÕES!$E51/CARTÕES!$F51,0)))</f>
        <v/>
      </c>
      <c r="AV51" s="57">
        <f>IF(L51=0,0,IF(10=CARTÕES!$F51,CARTÕES!$E51-(CARTÕES!$F51-1)*ROUND(CARTÕES!$E51/CARTÕES!$F51,0),ROUND(CARTÕES!$E51/CARTÕES!$F51,0)))</f>
        <v/>
      </c>
      <c r="AW51" s="57">
        <f>IF(M51=0,0,IF(11=CARTÕES!$F51,CARTÕES!$E51-(CARTÕES!$F51-1)*ROUND(CARTÕES!$E51/CARTÕES!$F51,0),ROUND(CARTÕES!$E51/CARTÕES!$F51,0)))</f>
        <v/>
      </c>
      <c r="AX51" s="57">
        <f>IF(N51=0,0,IF(12=CARTÕES!$F51,CARTÕES!$E51-(CARTÕES!$F51-1)*ROUND(CARTÕES!$E51/CARTÕES!$F51,0),ROUND(CARTÕES!$E51/CARTÕES!$F51,0)))</f>
        <v/>
      </c>
      <c r="AY51" s="57">
        <f>IF(O51=0,0,IF(13=CARTÕES!$F51,CARTÕES!$E51-(CARTÕES!$F51-1)*ROUND(CARTÕES!$E51/CARTÕES!$F51,0),ROUND(CARTÕES!$E51/CARTÕES!$F51,0)))</f>
        <v/>
      </c>
      <c r="AZ51" s="57">
        <f>IF(P51=0,0,IF(14=CARTÕES!$F51,CARTÕES!$E51-(CARTÕES!$F51-1)*ROUND(CARTÕES!$E51/CARTÕES!$F51,0),ROUND(CARTÕES!$E51/CARTÕES!$F51,0)))</f>
        <v/>
      </c>
      <c r="BA51" s="57">
        <f>IF(Q51=0,0,IF(15=CARTÕES!$F51,CARTÕES!$E51-(CARTÕES!$F51-1)*ROUND(CARTÕES!$E51/CARTÕES!$F51,0),ROUND(CARTÕES!$E51/CARTÕES!$F51,0)))</f>
        <v/>
      </c>
      <c r="BB51" s="57">
        <f>IF(R51=0,0,IF(16=CARTÕES!$F51,CARTÕES!$E51-(CARTÕES!$F51-1)*ROUND(CARTÕES!$E51/CARTÕES!$F51,0),ROUND(CARTÕES!$E51/CARTÕES!$F51,0)))</f>
        <v/>
      </c>
      <c r="BC51" s="57">
        <f>IF(S51=0,0,IF(17=CARTÕES!$F51,CARTÕES!$E51-(CARTÕES!$F51-1)*ROUND(CARTÕES!$E51/CARTÕES!$F51,0),ROUND(CARTÕES!$E51/CARTÕES!$F51,0)))</f>
        <v/>
      </c>
      <c r="BD51" s="57">
        <f>IF(T51=0,0,IF(18=CARTÕES!$F51,CARTÕES!$E51-(CARTÕES!$F51-1)*ROUND(CARTÕES!$E51/CARTÕES!$F51,0),ROUND(CARTÕES!$E51/CARTÕES!$F51,0)))</f>
        <v/>
      </c>
      <c r="BE51" s="57">
        <f>IF(U51=0,0,IF(19=CARTÕES!$F51,CARTÕES!$E51-(CARTÕES!$F51-1)*ROUND(CARTÕES!$E51/CARTÕES!$F51,0),ROUND(CARTÕES!$E51/CARTÕES!$F51,0)))</f>
        <v/>
      </c>
      <c r="BF51" s="57">
        <f>IF(V51=0,0,IF(20=CARTÕES!$F51,CARTÕES!$E51-(CARTÕES!$F51-1)*ROUND(CARTÕES!$E51/CARTÕES!$F51,0),ROUND(CARTÕES!$E51/CARTÕES!$F51,0)))</f>
        <v/>
      </c>
      <c r="BG51" s="57">
        <f>IF(W51=0,0,IF(21=CARTÕES!$F51,CARTÕES!$E51-(CARTÕES!$F51-1)*ROUND(CARTÕES!$E51/CARTÕES!$F51,0),ROUND(CARTÕES!$E51/CARTÕES!$F51,0)))</f>
        <v/>
      </c>
      <c r="BH51" s="57">
        <f>IF(X51=0,0,IF(22=CARTÕES!$F51,CARTÕES!$E51-(CARTÕES!$F51-1)*ROUND(CARTÕES!$E51/CARTÕES!$F51,0),ROUND(CARTÕES!$E51/CARTÕES!$F51,0)))</f>
        <v/>
      </c>
      <c r="BI51" s="57">
        <f>IF(Y51=0,0,IF(23=CARTÕES!$F51,CARTÕES!$E51-(CARTÕES!$F51-1)*ROUND(CARTÕES!$E51/CARTÕES!$F51,0),ROUND(CARTÕES!$E51/CARTÕES!$F51,0)))</f>
        <v/>
      </c>
      <c r="BJ51" s="57">
        <f>IF(Z51=0,0,IF(24=CARTÕES!$F51,CARTÕES!$E51-(CARTÕES!$F51-1)*ROUND(CARTÕES!$E51/CARTÕES!$F51,0),ROUND(CARTÕES!$E51/CARTÕES!$F51,0)))</f>
        <v/>
      </c>
      <c r="BK51" s="57">
        <f>IF(AA51=0,0,IF(25=CARTÕES!$F51,CARTÕES!$E51-(CARTÕES!$F51-1)*ROUND(CARTÕES!$E51/CARTÕES!$F51,0),ROUND(CARTÕES!$E51/CARTÕES!$F51,0)))</f>
        <v/>
      </c>
      <c r="BL51" s="57">
        <f>IF(AB51=0,0,IF(26=CARTÕES!$F51,CARTÕES!$E51-(CARTÕES!$F51-1)*ROUND(CARTÕES!$E51/CARTÕES!$F51,0),ROUND(CARTÕES!$E51/CARTÕES!$F51,0)))</f>
        <v/>
      </c>
      <c r="BM51" s="57">
        <f>IF(AC51=0,0,IF(27=CARTÕES!$F51,CARTÕES!$E51-(CARTÕES!$F51-1)*ROUND(CARTÕES!$E51/CARTÕES!$F51,0),ROUND(CARTÕES!$E51/CARTÕES!$F51,0)))</f>
        <v/>
      </c>
      <c r="BN51" s="57">
        <f>IF(AD51=0,0,IF(28=CARTÕES!$F51,CARTÕES!$E51-(CARTÕES!$F51-1)*ROUND(CARTÕES!$E51/CARTÕES!$F51,0),ROUND(CARTÕES!$E51/CARTÕES!$F51,0)))</f>
        <v/>
      </c>
      <c r="BO51" s="57">
        <f>IF(AE51=0,0,IF(29=CARTÕES!$F51,CARTÕES!$E51-(CARTÕES!$F51-1)*ROUND(CARTÕES!$E51/CARTÕES!$F51,0),ROUND(CARTÕES!$E51/CARTÕES!$F51,0)))</f>
        <v/>
      </c>
      <c r="BP51" s="57">
        <f>IF(AF51=0,0,IF(30=CARTÕES!$F51,CARTÕES!$E51-(CARTÕES!$F51-1)*ROUND(CARTÕES!$E51/CARTÕES!$F51,0),ROUND(CARTÕES!$E51/CARTÕES!$F51,0)))</f>
        <v/>
      </c>
      <c r="BQ51" s="57">
        <f>IF(AG51=0,0,IF(31=CARTÕES!$F51,CARTÕES!$E51-(CARTÕES!$F51-1)*ROUND(CARTÕES!$E51/CARTÕES!$F51,0),ROUND(CARTÕES!$E51/CARTÕES!$F51,0)))</f>
        <v/>
      </c>
      <c r="BR51" s="57">
        <f>IF(AH51=0,0,IF(32=CARTÕES!$F51,CARTÕES!$E51-(CARTÕES!$F51-1)*ROUND(CARTÕES!$E51/CARTÕES!$F51,0),ROUND(CARTÕES!$E51/CARTÕES!$F51,0)))</f>
        <v/>
      </c>
      <c r="BS51" s="57">
        <f>IF(AI51=0,0,IF(33=CARTÕES!$F51,CARTÕES!$E51-(CARTÕES!$F51-1)*ROUND(CARTÕES!$E51/CARTÕES!$F51,0),ROUND(CARTÕES!$E51/CARTÕES!$F51,0)))</f>
        <v/>
      </c>
      <c r="BT51" s="57">
        <f>IF(AJ51=0,0,IF(34=CARTÕES!$F51,CARTÕES!$E51-(CARTÕES!$F51-1)*ROUND(CARTÕES!$E51/CARTÕES!$F51,0),ROUND(CARTÕES!$E51/CARTÕES!$F51,0)))</f>
        <v/>
      </c>
      <c r="BU51" s="57">
        <f>IF(AK51=0,0,IF(35=CARTÕES!$F51,CARTÕES!$E51-(CARTÕES!$F51-1)*ROUND(CARTÕES!$E51/CARTÕES!$F51,0),ROUND(CARTÕES!$E51/CARTÕES!$F51,0)))</f>
        <v/>
      </c>
      <c r="BV51" s="57">
        <f>IF(AL51=0,0,IF(36=CARTÕES!$F51,CARTÕES!$E51-(CARTÕES!$F51-1)*ROUND(CARTÕES!$E51/CARTÕES!$F51,0),ROUND(CARTÕES!$E51/CARTÕES!$F51,0)))</f>
        <v/>
      </c>
    </row>
    <row r="52">
      <c r="A52" s="55">
        <f>IF(CARTÕES!$C52="","",CARTÕES!$C52)</f>
        <v/>
      </c>
      <c r="B52" s="56">
        <f>SUMPRODUCT((C52:AL52='RESUMO MENSAL'!$C$4)*AM52:BV52)</f>
        <v/>
      </c>
      <c r="C52" s="57">
        <f>IF(OR(CARTÕES!$K52=0,CARTÕES!$F52=""),0,IF(1&gt;CARTÕES!$F52,0,CARTÕES!$K52+1-1))</f>
        <v/>
      </c>
      <c r="D52" s="57">
        <f>IF(OR(CARTÕES!$K52=0,CARTÕES!$F52=""),0,IF(2&gt;CARTÕES!$F52,0,CARTÕES!$K52+2-1))</f>
        <v/>
      </c>
      <c r="E52" s="57">
        <f>IF(OR(CARTÕES!$K52=0,CARTÕES!$F52=""),0,IF(3&gt;CARTÕES!$F52,0,CARTÕES!$K52+3-1))</f>
        <v/>
      </c>
      <c r="F52" s="57">
        <f>IF(OR(CARTÕES!$K52=0,CARTÕES!$F52=""),0,IF(4&gt;CARTÕES!$F52,0,CARTÕES!$K52+4-1))</f>
        <v/>
      </c>
      <c r="G52" s="57">
        <f>IF(OR(CARTÕES!$K52=0,CARTÕES!$F52=""),0,IF(5&gt;CARTÕES!$F52,0,CARTÕES!$K52+5-1))</f>
        <v/>
      </c>
      <c r="H52" s="57">
        <f>IF(OR(CARTÕES!$K52=0,CARTÕES!$F52=""),0,IF(6&gt;CARTÕES!$F52,0,CARTÕES!$K52+6-1))</f>
        <v/>
      </c>
      <c r="I52" s="57">
        <f>IF(OR(CARTÕES!$K52=0,CARTÕES!$F52=""),0,IF(7&gt;CARTÕES!$F52,0,CARTÕES!$K52+7-1))</f>
        <v/>
      </c>
      <c r="J52" s="57">
        <f>IF(OR(CARTÕES!$K52=0,CARTÕES!$F52=""),0,IF(8&gt;CARTÕES!$F52,0,CARTÕES!$K52+8-1))</f>
        <v/>
      </c>
      <c r="K52" s="57">
        <f>IF(OR(CARTÕES!$K52=0,CARTÕES!$F52=""),0,IF(9&gt;CARTÕES!$F52,0,CARTÕES!$K52+9-1))</f>
        <v/>
      </c>
      <c r="L52" s="57">
        <f>IF(OR(CARTÕES!$K52=0,CARTÕES!$F52=""),0,IF(10&gt;CARTÕES!$F52,0,CARTÕES!$K52+10-1))</f>
        <v/>
      </c>
      <c r="M52" s="57">
        <f>IF(OR(CARTÕES!$K52=0,CARTÕES!$F52=""),0,IF(11&gt;CARTÕES!$F52,0,CARTÕES!$K52+11-1))</f>
        <v/>
      </c>
      <c r="N52" s="57">
        <f>IF(OR(CARTÕES!$K52=0,CARTÕES!$F52=""),0,IF(12&gt;CARTÕES!$F52,0,CARTÕES!$K52+12-1))</f>
        <v/>
      </c>
      <c r="O52" s="57">
        <f>IF(OR(CARTÕES!$K52=0,CARTÕES!$F52=""),0,IF(13&gt;CARTÕES!$F52,0,CARTÕES!$K52+13-1))</f>
        <v/>
      </c>
      <c r="P52" s="57">
        <f>IF(OR(CARTÕES!$K52=0,CARTÕES!$F52=""),0,IF(14&gt;CARTÕES!$F52,0,CARTÕES!$K52+14-1))</f>
        <v/>
      </c>
      <c r="Q52" s="57">
        <f>IF(OR(CARTÕES!$K52=0,CARTÕES!$F52=""),0,IF(15&gt;CARTÕES!$F52,0,CARTÕES!$K52+15-1))</f>
        <v/>
      </c>
      <c r="R52" s="57">
        <f>IF(OR(CARTÕES!$K52=0,CARTÕES!$F52=""),0,IF(16&gt;CARTÕES!$F52,0,CARTÕES!$K52+16-1))</f>
        <v/>
      </c>
      <c r="S52" s="57">
        <f>IF(OR(CARTÕES!$K52=0,CARTÕES!$F52=""),0,IF(17&gt;CARTÕES!$F52,0,CARTÕES!$K52+17-1))</f>
        <v/>
      </c>
      <c r="T52" s="57">
        <f>IF(OR(CARTÕES!$K52=0,CARTÕES!$F52=""),0,IF(18&gt;CARTÕES!$F52,0,CARTÕES!$K52+18-1))</f>
        <v/>
      </c>
      <c r="U52" s="57">
        <f>IF(OR(CARTÕES!$K52=0,CARTÕES!$F52=""),0,IF(19&gt;CARTÕES!$F52,0,CARTÕES!$K52+19-1))</f>
        <v/>
      </c>
      <c r="V52" s="57">
        <f>IF(OR(CARTÕES!$K52=0,CARTÕES!$F52=""),0,IF(20&gt;CARTÕES!$F52,0,CARTÕES!$K52+20-1))</f>
        <v/>
      </c>
      <c r="W52" s="57">
        <f>IF(OR(CARTÕES!$K52=0,CARTÕES!$F52=""),0,IF(21&gt;CARTÕES!$F52,0,CARTÕES!$K52+21-1))</f>
        <v/>
      </c>
      <c r="X52" s="57">
        <f>IF(OR(CARTÕES!$K52=0,CARTÕES!$F52=""),0,IF(22&gt;CARTÕES!$F52,0,CARTÕES!$K52+22-1))</f>
        <v/>
      </c>
      <c r="Y52" s="57">
        <f>IF(OR(CARTÕES!$K52=0,CARTÕES!$F52=""),0,IF(23&gt;CARTÕES!$F52,0,CARTÕES!$K52+23-1))</f>
        <v/>
      </c>
      <c r="Z52" s="57">
        <f>IF(OR(CARTÕES!$K52=0,CARTÕES!$F52=""),0,IF(24&gt;CARTÕES!$F52,0,CARTÕES!$K52+24-1))</f>
        <v/>
      </c>
      <c r="AA52" s="57">
        <f>IF(OR(CARTÕES!$K52=0,CARTÕES!$F52=""),0,IF(25&gt;CARTÕES!$F52,0,CARTÕES!$K52+25-1))</f>
        <v/>
      </c>
      <c r="AB52" s="57">
        <f>IF(OR(CARTÕES!$K52=0,CARTÕES!$F52=""),0,IF(26&gt;CARTÕES!$F52,0,CARTÕES!$K52+26-1))</f>
        <v/>
      </c>
      <c r="AC52" s="57">
        <f>IF(OR(CARTÕES!$K52=0,CARTÕES!$F52=""),0,IF(27&gt;CARTÕES!$F52,0,CARTÕES!$K52+27-1))</f>
        <v/>
      </c>
      <c r="AD52" s="57">
        <f>IF(OR(CARTÕES!$K52=0,CARTÕES!$F52=""),0,IF(28&gt;CARTÕES!$F52,0,CARTÕES!$K52+28-1))</f>
        <v/>
      </c>
      <c r="AE52" s="57">
        <f>IF(OR(CARTÕES!$K52=0,CARTÕES!$F52=""),0,IF(29&gt;CARTÕES!$F52,0,CARTÕES!$K52+29-1))</f>
        <v/>
      </c>
      <c r="AF52" s="57">
        <f>IF(OR(CARTÕES!$K52=0,CARTÕES!$F52=""),0,IF(30&gt;CARTÕES!$F52,0,CARTÕES!$K52+30-1))</f>
        <v/>
      </c>
      <c r="AG52" s="57">
        <f>IF(OR(CARTÕES!$K52=0,CARTÕES!$F52=""),0,IF(31&gt;CARTÕES!$F52,0,CARTÕES!$K52+31-1))</f>
        <v/>
      </c>
      <c r="AH52" s="57">
        <f>IF(OR(CARTÕES!$K52=0,CARTÕES!$F52=""),0,IF(32&gt;CARTÕES!$F52,0,CARTÕES!$K52+32-1))</f>
        <v/>
      </c>
      <c r="AI52" s="57">
        <f>IF(OR(CARTÕES!$K52=0,CARTÕES!$F52=""),0,IF(33&gt;CARTÕES!$F52,0,CARTÕES!$K52+33-1))</f>
        <v/>
      </c>
      <c r="AJ52" s="57">
        <f>IF(OR(CARTÕES!$K52=0,CARTÕES!$F52=""),0,IF(34&gt;CARTÕES!$F52,0,CARTÕES!$K52+34-1))</f>
        <v/>
      </c>
      <c r="AK52" s="57">
        <f>IF(OR(CARTÕES!$K52=0,CARTÕES!$F52=""),0,IF(35&gt;CARTÕES!$F52,0,CARTÕES!$K52+35-1))</f>
        <v/>
      </c>
      <c r="AL52" s="57">
        <f>IF(OR(CARTÕES!$K52=0,CARTÕES!$F52=""),0,IF(36&gt;CARTÕES!$F52,0,CARTÕES!$K52+36-1))</f>
        <v/>
      </c>
      <c r="AM52" s="57">
        <f>IF(C52=0,0,IF(1=CARTÕES!$F52,CARTÕES!$E52-(CARTÕES!$F52-1)*ROUND(CARTÕES!$E52/CARTÕES!$F52,0),ROUND(CARTÕES!$E52/CARTÕES!$F52,0)))</f>
        <v/>
      </c>
      <c r="AN52" s="57">
        <f>IF(D52=0,0,IF(2=CARTÕES!$F52,CARTÕES!$E52-(CARTÕES!$F52-1)*ROUND(CARTÕES!$E52/CARTÕES!$F52,0),ROUND(CARTÕES!$E52/CARTÕES!$F52,0)))</f>
        <v/>
      </c>
      <c r="AO52" s="57">
        <f>IF(E52=0,0,IF(3=CARTÕES!$F52,CARTÕES!$E52-(CARTÕES!$F52-1)*ROUND(CARTÕES!$E52/CARTÕES!$F52,0),ROUND(CARTÕES!$E52/CARTÕES!$F52,0)))</f>
        <v/>
      </c>
      <c r="AP52" s="57">
        <f>IF(F52=0,0,IF(4=CARTÕES!$F52,CARTÕES!$E52-(CARTÕES!$F52-1)*ROUND(CARTÕES!$E52/CARTÕES!$F52,0),ROUND(CARTÕES!$E52/CARTÕES!$F52,0)))</f>
        <v/>
      </c>
      <c r="AQ52" s="57">
        <f>IF(G52=0,0,IF(5=CARTÕES!$F52,CARTÕES!$E52-(CARTÕES!$F52-1)*ROUND(CARTÕES!$E52/CARTÕES!$F52,0),ROUND(CARTÕES!$E52/CARTÕES!$F52,0)))</f>
        <v/>
      </c>
      <c r="AR52" s="57">
        <f>IF(H52=0,0,IF(6=CARTÕES!$F52,CARTÕES!$E52-(CARTÕES!$F52-1)*ROUND(CARTÕES!$E52/CARTÕES!$F52,0),ROUND(CARTÕES!$E52/CARTÕES!$F52,0)))</f>
        <v/>
      </c>
      <c r="AS52" s="57">
        <f>IF(I52=0,0,IF(7=CARTÕES!$F52,CARTÕES!$E52-(CARTÕES!$F52-1)*ROUND(CARTÕES!$E52/CARTÕES!$F52,0),ROUND(CARTÕES!$E52/CARTÕES!$F52,0)))</f>
        <v/>
      </c>
      <c r="AT52" s="57">
        <f>IF(J52=0,0,IF(8=CARTÕES!$F52,CARTÕES!$E52-(CARTÕES!$F52-1)*ROUND(CARTÕES!$E52/CARTÕES!$F52,0),ROUND(CARTÕES!$E52/CARTÕES!$F52,0)))</f>
        <v/>
      </c>
      <c r="AU52" s="57">
        <f>IF(K52=0,0,IF(9=CARTÕES!$F52,CARTÕES!$E52-(CARTÕES!$F52-1)*ROUND(CARTÕES!$E52/CARTÕES!$F52,0),ROUND(CARTÕES!$E52/CARTÕES!$F52,0)))</f>
        <v/>
      </c>
      <c r="AV52" s="57">
        <f>IF(L52=0,0,IF(10=CARTÕES!$F52,CARTÕES!$E52-(CARTÕES!$F52-1)*ROUND(CARTÕES!$E52/CARTÕES!$F52,0),ROUND(CARTÕES!$E52/CARTÕES!$F52,0)))</f>
        <v/>
      </c>
      <c r="AW52" s="57">
        <f>IF(M52=0,0,IF(11=CARTÕES!$F52,CARTÕES!$E52-(CARTÕES!$F52-1)*ROUND(CARTÕES!$E52/CARTÕES!$F52,0),ROUND(CARTÕES!$E52/CARTÕES!$F52,0)))</f>
        <v/>
      </c>
      <c r="AX52" s="57">
        <f>IF(N52=0,0,IF(12=CARTÕES!$F52,CARTÕES!$E52-(CARTÕES!$F52-1)*ROUND(CARTÕES!$E52/CARTÕES!$F52,0),ROUND(CARTÕES!$E52/CARTÕES!$F52,0)))</f>
        <v/>
      </c>
      <c r="AY52" s="57">
        <f>IF(O52=0,0,IF(13=CARTÕES!$F52,CARTÕES!$E52-(CARTÕES!$F52-1)*ROUND(CARTÕES!$E52/CARTÕES!$F52,0),ROUND(CARTÕES!$E52/CARTÕES!$F52,0)))</f>
        <v/>
      </c>
      <c r="AZ52" s="57">
        <f>IF(P52=0,0,IF(14=CARTÕES!$F52,CARTÕES!$E52-(CARTÕES!$F52-1)*ROUND(CARTÕES!$E52/CARTÕES!$F52,0),ROUND(CARTÕES!$E52/CARTÕES!$F52,0)))</f>
        <v/>
      </c>
      <c r="BA52" s="57">
        <f>IF(Q52=0,0,IF(15=CARTÕES!$F52,CARTÕES!$E52-(CARTÕES!$F52-1)*ROUND(CARTÕES!$E52/CARTÕES!$F52,0),ROUND(CARTÕES!$E52/CARTÕES!$F52,0)))</f>
        <v/>
      </c>
      <c r="BB52" s="57">
        <f>IF(R52=0,0,IF(16=CARTÕES!$F52,CARTÕES!$E52-(CARTÕES!$F52-1)*ROUND(CARTÕES!$E52/CARTÕES!$F52,0),ROUND(CARTÕES!$E52/CARTÕES!$F52,0)))</f>
        <v/>
      </c>
      <c r="BC52" s="57">
        <f>IF(S52=0,0,IF(17=CARTÕES!$F52,CARTÕES!$E52-(CARTÕES!$F52-1)*ROUND(CARTÕES!$E52/CARTÕES!$F52,0),ROUND(CARTÕES!$E52/CARTÕES!$F52,0)))</f>
        <v/>
      </c>
      <c r="BD52" s="57">
        <f>IF(T52=0,0,IF(18=CARTÕES!$F52,CARTÕES!$E52-(CARTÕES!$F52-1)*ROUND(CARTÕES!$E52/CARTÕES!$F52,0),ROUND(CARTÕES!$E52/CARTÕES!$F52,0)))</f>
        <v/>
      </c>
      <c r="BE52" s="57">
        <f>IF(U52=0,0,IF(19=CARTÕES!$F52,CARTÕES!$E52-(CARTÕES!$F52-1)*ROUND(CARTÕES!$E52/CARTÕES!$F52,0),ROUND(CARTÕES!$E52/CARTÕES!$F52,0)))</f>
        <v/>
      </c>
      <c r="BF52" s="57">
        <f>IF(V52=0,0,IF(20=CARTÕES!$F52,CARTÕES!$E52-(CARTÕES!$F52-1)*ROUND(CARTÕES!$E52/CARTÕES!$F52,0),ROUND(CARTÕES!$E52/CARTÕES!$F52,0)))</f>
        <v/>
      </c>
      <c r="BG52" s="57">
        <f>IF(W52=0,0,IF(21=CARTÕES!$F52,CARTÕES!$E52-(CARTÕES!$F52-1)*ROUND(CARTÕES!$E52/CARTÕES!$F52,0),ROUND(CARTÕES!$E52/CARTÕES!$F52,0)))</f>
        <v/>
      </c>
      <c r="BH52" s="57">
        <f>IF(X52=0,0,IF(22=CARTÕES!$F52,CARTÕES!$E52-(CARTÕES!$F52-1)*ROUND(CARTÕES!$E52/CARTÕES!$F52,0),ROUND(CARTÕES!$E52/CARTÕES!$F52,0)))</f>
        <v/>
      </c>
      <c r="BI52" s="57">
        <f>IF(Y52=0,0,IF(23=CARTÕES!$F52,CARTÕES!$E52-(CARTÕES!$F52-1)*ROUND(CARTÕES!$E52/CARTÕES!$F52,0),ROUND(CARTÕES!$E52/CARTÕES!$F52,0)))</f>
        <v/>
      </c>
      <c r="BJ52" s="57">
        <f>IF(Z52=0,0,IF(24=CARTÕES!$F52,CARTÕES!$E52-(CARTÕES!$F52-1)*ROUND(CARTÕES!$E52/CARTÕES!$F52,0),ROUND(CARTÕES!$E52/CARTÕES!$F52,0)))</f>
        <v/>
      </c>
      <c r="BK52" s="57">
        <f>IF(AA52=0,0,IF(25=CARTÕES!$F52,CARTÕES!$E52-(CARTÕES!$F52-1)*ROUND(CARTÕES!$E52/CARTÕES!$F52,0),ROUND(CARTÕES!$E52/CARTÕES!$F52,0)))</f>
        <v/>
      </c>
      <c r="BL52" s="57">
        <f>IF(AB52=0,0,IF(26=CARTÕES!$F52,CARTÕES!$E52-(CARTÕES!$F52-1)*ROUND(CARTÕES!$E52/CARTÕES!$F52,0),ROUND(CARTÕES!$E52/CARTÕES!$F52,0)))</f>
        <v/>
      </c>
      <c r="BM52" s="57">
        <f>IF(AC52=0,0,IF(27=CARTÕES!$F52,CARTÕES!$E52-(CARTÕES!$F52-1)*ROUND(CARTÕES!$E52/CARTÕES!$F52,0),ROUND(CARTÕES!$E52/CARTÕES!$F52,0)))</f>
        <v/>
      </c>
      <c r="BN52" s="57">
        <f>IF(AD52=0,0,IF(28=CARTÕES!$F52,CARTÕES!$E52-(CARTÕES!$F52-1)*ROUND(CARTÕES!$E52/CARTÕES!$F52,0),ROUND(CARTÕES!$E52/CARTÕES!$F52,0)))</f>
        <v/>
      </c>
      <c r="BO52" s="57">
        <f>IF(AE52=0,0,IF(29=CARTÕES!$F52,CARTÕES!$E52-(CARTÕES!$F52-1)*ROUND(CARTÕES!$E52/CARTÕES!$F52,0),ROUND(CARTÕES!$E52/CARTÕES!$F52,0)))</f>
        <v/>
      </c>
      <c r="BP52" s="57">
        <f>IF(AF52=0,0,IF(30=CARTÕES!$F52,CARTÕES!$E52-(CARTÕES!$F52-1)*ROUND(CARTÕES!$E52/CARTÕES!$F52,0),ROUND(CARTÕES!$E52/CARTÕES!$F52,0)))</f>
        <v/>
      </c>
      <c r="BQ52" s="57">
        <f>IF(AG52=0,0,IF(31=CARTÕES!$F52,CARTÕES!$E52-(CARTÕES!$F52-1)*ROUND(CARTÕES!$E52/CARTÕES!$F52,0),ROUND(CARTÕES!$E52/CARTÕES!$F52,0)))</f>
        <v/>
      </c>
      <c r="BR52" s="57">
        <f>IF(AH52=0,0,IF(32=CARTÕES!$F52,CARTÕES!$E52-(CARTÕES!$F52-1)*ROUND(CARTÕES!$E52/CARTÕES!$F52,0),ROUND(CARTÕES!$E52/CARTÕES!$F52,0)))</f>
        <v/>
      </c>
      <c r="BS52" s="57">
        <f>IF(AI52=0,0,IF(33=CARTÕES!$F52,CARTÕES!$E52-(CARTÕES!$F52-1)*ROUND(CARTÕES!$E52/CARTÕES!$F52,0),ROUND(CARTÕES!$E52/CARTÕES!$F52,0)))</f>
        <v/>
      </c>
      <c r="BT52" s="57">
        <f>IF(AJ52=0,0,IF(34=CARTÕES!$F52,CARTÕES!$E52-(CARTÕES!$F52-1)*ROUND(CARTÕES!$E52/CARTÕES!$F52,0),ROUND(CARTÕES!$E52/CARTÕES!$F52,0)))</f>
        <v/>
      </c>
      <c r="BU52" s="57">
        <f>IF(AK52=0,0,IF(35=CARTÕES!$F52,CARTÕES!$E52-(CARTÕES!$F52-1)*ROUND(CARTÕES!$E52/CARTÕES!$F52,0),ROUND(CARTÕES!$E52/CARTÕES!$F52,0)))</f>
        <v/>
      </c>
      <c r="BV52" s="57">
        <f>IF(AL52=0,0,IF(36=CARTÕES!$F52,CARTÕES!$E52-(CARTÕES!$F52-1)*ROUND(CARTÕES!$E52/CARTÕES!$F52,0),ROUND(CARTÕES!$E52/CARTÕES!$F52,0)))</f>
        <v/>
      </c>
    </row>
    <row r="53">
      <c r="A53" s="55">
        <f>IF(CARTÕES!$C53="","",CARTÕES!$C53)</f>
        <v/>
      </c>
      <c r="B53" s="56">
        <f>SUMPRODUCT((C53:AL53='RESUMO MENSAL'!$C$4)*AM53:BV53)</f>
        <v/>
      </c>
      <c r="C53" s="57">
        <f>IF(OR(CARTÕES!$K53=0,CARTÕES!$F53=""),0,IF(1&gt;CARTÕES!$F53,0,CARTÕES!$K53+1-1))</f>
        <v/>
      </c>
      <c r="D53" s="57">
        <f>IF(OR(CARTÕES!$K53=0,CARTÕES!$F53=""),0,IF(2&gt;CARTÕES!$F53,0,CARTÕES!$K53+2-1))</f>
        <v/>
      </c>
      <c r="E53" s="57">
        <f>IF(OR(CARTÕES!$K53=0,CARTÕES!$F53=""),0,IF(3&gt;CARTÕES!$F53,0,CARTÕES!$K53+3-1))</f>
        <v/>
      </c>
      <c r="F53" s="57">
        <f>IF(OR(CARTÕES!$K53=0,CARTÕES!$F53=""),0,IF(4&gt;CARTÕES!$F53,0,CARTÕES!$K53+4-1))</f>
        <v/>
      </c>
      <c r="G53" s="57">
        <f>IF(OR(CARTÕES!$K53=0,CARTÕES!$F53=""),0,IF(5&gt;CARTÕES!$F53,0,CARTÕES!$K53+5-1))</f>
        <v/>
      </c>
      <c r="H53" s="57">
        <f>IF(OR(CARTÕES!$K53=0,CARTÕES!$F53=""),0,IF(6&gt;CARTÕES!$F53,0,CARTÕES!$K53+6-1))</f>
        <v/>
      </c>
      <c r="I53" s="57">
        <f>IF(OR(CARTÕES!$K53=0,CARTÕES!$F53=""),0,IF(7&gt;CARTÕES!$F53,0,CARTÕES!$K53+7-1))</f>
        <v/>
      </c>
      <c r="J53" s="57">
        <f>IF(OR(CARTÕES!$K53=0,CARTÕES!$F53=""),0,IF(8&gt;CARTÕES!$F53,0,CARTÕES!$K53+8-1))</f>
        <v/>
      </c>
      <c r="K53" s="57">
        <f>IF(OR(CARTÕES!$K53=0,CARTÕES!$F53=""),0,IF(9&gt;CARTÕES!$F53,0,CARTÕES!$K53+9-1))</f>
        <v/>
      </c>
      <c r="L53" s="57">
        <f>IF(OR(CARTÕES!$K53=0,CARTÕES!$F53=""),0,IF(10&gt;CARTÕES!$F53,0,CARTÕES!$K53+10-1))</f>
        <v/>
      </c>
      <c r="M53" s="57">
        <f>IF(OR(CARTÕES!$K53=0,CARTÕES!$F53=""),0,IF(11&gt;CARTÕES!$F53,0,CARTÕES!$K53+11-1))</f>
        <v/>
      </c>
      <c r="N53" s="57">
        <f>IF(OR(CARTÕES!$K53=0,CARTÕES!$F53=""),0,IF(12&gt;CARTÕES!$F53,0,CARTÕES!$K53+12-1))</f>
        <v/>
      </c>
      <c r="O53" s="57">
        <f>IF(OR(CARTÕES!$K53=0,CARTÕES!$F53=""),0,IF(13&gt;CARTÕES!$F53,0,CARTÕES!$K53+13-1))</f>
        <v/>
      </c>
      <c r="P53" s="57">
        <f>IF(OR(CARTÕES!$K53=0,CARTÕES!$F53=""),0,IF(14&gt;CARTÕES!$F53,0,CARTÕES!$K53+14-1))</f>
        <v/>
      </c>
      <c r="Q53" s="57">
        <f>IF(OR(CARTÕES!$K53=0,CARTÕES!$F53=""),0,IF(15&gt;CARTÕES!$F53,0,CARTÕES!$K53+15-1))</f>
        <v/>
      </c>
      <c r="R53" s="57">
        <f>IF(OR(CARTÕES!$K53=0,CARTÕES!$F53=""),0,IF(16&gt;CARTÕES!$F53,0,CARTÕES!$K53+16-1))</f>
        <v/>
      </c>
      <c r="S53" s="57">
        <f>IF(OR(CARTÕES!$K53=0,CARTÕES!$F53=""),0,IF(17&gt;CARTÕES!$F53,0,CARTÕES!$K53+17-1))</f>
        <v/>
      </c>
      <c r="T53" s="57">
        <f>IF(OR(CARTÕES!$K53=0,CARTÕES!$F53=""),0,IF(18&gt;CARTÕES!$F53,0,CARTÕES!$K53+18-1))</f>
        <v/>
      </c>
      <c r="U53" s="57">
        <f>IF(OR(CARTÕES!$K53=0,CARTÕES!$F53=""),0,IF(19&gt;CARTÕES!$F53,0,CARTÕES!$K53+19-1))</f>
        <v/>
      </c>
      <c r="V53" s="57">
        <f>IF(OR(CARTÕES!$K53=0,CARTÕES!$F53=""),0,IF(20&gt;CARTÕES!$F53,0,CARTÕES!$K53+20-1))</f>
        <v/>
      </c>
      <c r="W53" s="57">
        <f>IF(OR(CARTÕES!$K53=0,CARTÕES!$F53=""),0,IF(21&gt;CARTÕES!$F53,0,CARTÕES!$K53+21-1))</f>
        <v/>
      </c>
      <c r="X53" s="57">
        <f>IF(OR(CARTÕES!$K53=0,CARTÕES!$F53=""),0,IF(22&gt;CARTÕES!$F53,0,CARTÕES!$K53+22-1))</f>
        <v/>
      </c>
      <c r="Y53" s="57">
        <f>IF(OR(CARTÕES!$K53=0,CARTÕES!$F53=""),0,IF(23&gt;CARTÕES!$F53,0,CARTÕES!$K53+23-1))</f>
        <v/>
      </c>
      <c r="Z53" s="57">
        <f>IF(OR(CARTÕES!$K53=0,CARTÕES!$F53=""),0,IF(24&gt;CARTÕES!$F53,0,CARTÕES!$K53+24-1))</f>
        <v/>
      </c>
      <c r="AA53" s="57">
        <f>IF(OR(CARTÕES!$K53=0,CARTÕES!$F53=""),0,IF(25&gt;CARTÕES!$F53,0,CARTÕES!$K53+25-1))</f>
        <v/>
      </c>
      <c r="AB53" s="57">
        <f>IF(OR(CARTÕES!$K53=0,CARTÕES!$F53=""),0,IF(26&gt;CARTÕES!$F53,0,CARTÕES!$K53+26-1))</f>
        <v/>
      </c>
      <c r="AC53" s="57">
        <f>IF(OR(CARTÕES!$K53=0,CARTÕES!$F53=""),0,IF(27&gt;CARTÕES!$F53,0,CARTÕES!$K53+27-1))</f>
        <v/>
      </c>
      <c r="AD53" s="57">
        <f>IF(OR(CARTÕES!$K53=0,CARTÕES!$F53=""),0,IF(28&gt;CARTÕES!$F53,0,CARTÕES!$K53+28-1))</f>
        <v/>
      </c>
      <c r="AE53" s="57">
        <f>IF(OR(CARTÕES!$K53=0,CARTÕES!$F53=""),0,IF(29&gt;CARTÕES!$F53,0,CARTÕES!$K53+29-1))</f>
        <v/>
      </c>
      <c r="AF53" s="57">
        <f>IF(OR(CARTÕES!$K53=0,CARTÕES!$F53=""),0,IF(30&gt;CARTÕES!$F53,0,CARTÕES!$K53+30-1))</f>
        <v/>
      </c>
      <c r="AG53" s="57">
        <f>IF(OR(CARTÕES!$K53=0,CARTÕES!$F53=""),0,IF(31&gt;CARTÕES!$F53,0,CARTÕES!$K53+31-1))</f>
        <v/>
      </c>
      <c r="AH53" s="57">
        <f>IF(OR(CARTÕES!$K53=0,CARTÕES!$F53=""),0,IF(32&gt;CARTÕES!$F53,0,CARTÕES!$K53+32-1))</f>
        <v/>
      </c>
      <c r="AI53" s="57">
        <f>IF(OR(CARTÕES!$K53=0,CARTÕES!$F53=""),0,IF(33&gt;CARTÕES!$F53,0,CARTÕES!$K53+33-1))</f>
        <v/>
      </c>
      <c r="AJ53" s="57">
        <f>IF(OR(CARTÕES!$K53=0,CARTÕES!$F53=""),0,IF(34&gt;CARTÕES!$F53,0,CARTÕES!$K53+34-1))</f>
        <v/>
      </c>
      <c r="AK53" s="57">
        <f>IF(OR(CARTÕES!$K53=0,CARTÕES!$F53=""),0,IF(35&gt;CARTÕES!$F53,0,CARTÕES!$K53+35-1))</f>
        <v/>
      </c>
      <c r="AL53" s="57">
        <f>IF(OR(CARTÕES!$K53=0,CARTÕES!$F53=""),0,IF(36&gt;CARTÕES!$F53,0,CARTÕES!$K53+36-1))</f>
        <v/>
      </c>
      <c r="AM53" s="57">
        <f>IF(C53=0,0,IF(1=CARTÕES!$F53,CARTÕES!$E53-(CARTÕES!$F53-1)*ROUND(CARTÕES!$E53/CARTÕES!$F53,0),ROUND(CARTÕES!$E53/CARTÕES!$F53,0)))</f>
        <v/>
      </c>
      <c r="AN53" s="57">
        <f>IF(D53=0,0,IF(2=CARTÕES!$F53,CARTÕES!$E53-(CARTÕES!$F53-1)*ROUND(CARTÕES!$E53/CARTÕES!$F53,0),ROUND(CARTÕES!$E53/CARTÕES!$F53,0)))</f>
        <v/>
      </c>
      <c r="AO53" s="57">
        <f>IF(E53=0,0,IF(3=CARTÕES!$F53,CARTÕES!$E53-(CARTÕES!$F53-1)*ROUND(CARTÕES!$E53/CARTÕES!$F53,0),ROUND(CARTÕES!$E53/CARTÕES!$F53,0)))</f>
        <v/>
      </c>
      <c r="AP53" s="57">
        <f>IF(F53=0,0,IF(4=CARTÕES!$F53,CARTÕES!$E53-(CARTÕES!$F53-1)*ROUND(CARTÕES!$E53/CARTÕES!$F53,0),ROUND(CARTÕES!$E53/CARTÕES!$F53,0)))</f>
        <v/>
      </c>
      <c r="AQ53" s="57">
        <f>IF(G53=0,0,IF(5=CARTÕES!$F53,CARTÕES!$E53-(CARTÕES!$F53-1)*ROUND(CARTÕES!$E53/CARTÕES!$F53,0),ROUND(CARTÕES!$E53/CARTÕES!$F53,0)))</f>
        <v/>
      </c>
      <c r="AR53" s="57">
        <f>IF(H53=0,0,IF(6=CARTÕES!$F53,CARTÕES!$E53-(CARTÕES!$F53-1)*ROUND(CARTÕES!$E53/CARTÕES!$F53,0),ROUND(CARTÕES!$E53/CARTÕES!$F53,0)))</f>
        <v/>
      </c>
      <c r="AS53" s="57">
        <f>IF(I53=0,0,IF(7=CARTÕES!$F53,CARTÕES!$E53-(CARTÕES!$F53-1)*ROUND(CARTÕES!$E53/CARTÕES!$F53,0),ROUND(CARTÕES!$E53/CARTÕES!$F53,0)))</f>
        <v/>
      </c>
      <c r="AT53" s="57">
        <f>IF(J53=0,0,IF(8=CARTÕES!$F53,CARTÕES!$E53-(CARTÕES!$F53-1)*ROUND(CARTÕES!$E53/CARTÕES!$F53,0),ROUND(CARTÕES!$E53/CARTÕES!$F53,0)))</f>
        <v/>
      </c>
      <c r="AU53" s="57">
        <f>IF(K53=0,0,IF(9=CARTÕES!$F53,CARTÕES!$E53-(CARTÕES!$F53-1)*ROUND(CARTÕES!$E53/CARTÕES!$F53,0),ROUND(CARTÕES!$E53/CARTÕES!$F53,0)))</f>
        <v/>
      </c>
      <c r="AV53" s="57">
        <f>IF(L53=0,0,IF(10=CARTÕES!$F53,CARTÕES!$E53-(CARTÕES!$F53-1)*ROUND(CARTÕES!$E53/CARTÕES!$F53,0),ROUND(CARTÕES!$E53/CARTÕES!$F53,0)))</f>
        <v/>
      </c>
      <c r="AW53" s="57">
        <f>IF(M53=0,0,IF(11=CARTÕES!$F53,CARTÕES!$E53-(CARTÕES!$F53-1)*ROUND(CARTÕES!$E53/CARTÕES!$F53,0),ROUND(CARTÕES!$E53/CARTÕES!$F53,0)))</f>
        <v/>
      </c>
      <c r="AX53" s="57">
        <f>IF(N53=0,0,IF(12=CARTÕES!$F53,CARTÕES!$E53-(CARTÕES!$F53-1)*ROUND(CARTÕES!$E53/CARTÕES!$F53,0),ROUND(CARTÕES!$E53/CARTÕES!$F53,0)))</f>
        <v/>
      </c>
      <c r="AY53" s="57">
        <f>IF(O53=0,0,IF(13=CARTÕES!$F53,CARTÕES!$E53-(CARTÕES!$F53-1)*ROUND(CARTÕES!$E53/CARTÕES!$F53,0),ROUND(CARTÕES!$E53/CARTÕES!$F53,0)))</f>
        <v/>
      </c>
      <c r="AZ53" s="57">
        <f>IF(P53=0,0,IF(14=CARTÕES!$F53,CARTÕES!$E53-(CARTÕES!$F53-1)*ROUND(CARTÕES!$E53/CARTÕES!$F53,0),ROUND(CARTÕES!$E53/CARTÕES!$F53,0)))</f>
        <v/>
      </c>
      <c r="BA53" s="57">
        <f>IF(Q53=0,0,IF(15=CARTÕES!$F53,CARTÕES!$E53-(CARTÕES!$F53-1)*ROUND(CARTÕES!$E53/CARTÕES!$F53,0),ROUND(CARTÕES!$E53/CARTÕES!$F53,0)))</f>
        <v/>
      </c>
      <c r="BB53" s="57">
        <f>IF(R53=0,0,IF(16=CARTÕES!$F53,CARTÕES!$E53-(CARTÕES!$F53-1)*ROUND(CARTÕES!$E53/CARTÕES!$F53,0),ROUND(CARTÕES!$E53/CARTÕES!$F53,0)))</f>
        <v/>
      </c>
      <c r="BC53" s="57">
        <f>IF(S53=0,0,IF(17=CARTÕES!$F53,CARTÕES!$E53-(CARTÕES!$F53-1)*ROUND(CARTÕES!$E53/CARTÕES!$F53,0),ROUND(CARTÕES!$E53/CARTÕES!$F53,0)))</f>
        <v/>
      </c>
      <c r="BD53" s="57">
        <f>IF(T53=0,0,IF(18=CARTÕES!$F53,CARTÕES!$E53-(CARTÕES!$F53-1)*ROUND(CARTÕES!$E53/CARTÕES!$F53,0),ROUND(CARTÕES!$E53/CARTÕES!$F53,0)))</f>
        <v/>
      </c>
      <c r="BE53" s="57">
        <f>IF(U53=0,0,IF(19=CARTÕES!$F53,CARTÕES!$E53-(CARTÕES!$F53-1)*ROUND(CARTÕES!$E53/CARTÕES!$F53,0),ROUND(CARTÕES!$E53/CARTÕES!$F53,0)))</f>
        <v/>
      </c>
      <c r="BF53" s="57">
        <f>IF(V53=0,0,IF(20=CARTÕES!$F53,CARTÕES!$E53-(CARTÕES!$F53-1)*ROUND(CARTÕES!$E53/CARTÕES!$F53,0),ROUND(CARTÕES!$E53/CARTÕES!$F53,0)))</f>
        <v/>
      </c>
      <c r="BG53" s="57">
        <f>IF(W53=0,0,IF(21=CARTÕES!$F53,CARTÕES!$E53-(CARTÕES!$F53-1)*ROUND(CARTÕES!$E53/CARTÕES!$F53,0),ROUND(CARTÕES!$E53/CARTÕES!$F53,0)))</f>
        <v/>
      </c>
      <c r="BH53" s="57">
        <f>IF(X53=0,0,IF(22=CARTÕES!$F53,CARTÕES!$E53-(CARTÕES!$F53-1)*ROUND(CARTÕES!$E53/CARTÕES!$F53,0),ROUND(CARTÕES!$E53/CARTÕES!$F53,0)))</f>
        <v/>
      </c>
      <c r="BI53" s="57">
        <f>IF(Y53=0,0,IF(23=CARTÕES!$F53,CARTÕES!$E53-(CARTÕES!$F53-1)*ROUND(CARTÕES!$E53/CARTÕES!$F53,0),ROUND(CARTÕES!$E53/CARTÕES!$F53,0)))</f>
        <v/>
      </c>
      <c r="BJ53" s="57">
        <f>IF(Z53=0,0,IF(24=CARTÕES!$F53,CARTÕES!$E53-(CARTÕES!$F53-1)*ROUND(CARTÕES!$E53/CARTÕES!$F53,0),ROUND(CARTÕES!$E53/CARTÕES!$F53,0)))</f>
        <v/>
      </c>
      <c r="BK53" s="57">
        <f>IF(AA53=0,0,IF(25=CARTÕES!$F53,CARTÕES!$E53-(CARTÕES!$F53-1)*ROUND(CARTÕES!$E53/CARTÕES!$F53,0),ROUND(CARTÕES!$E53/CARTÕES!$F53,0)))</f>
        <v/>
      </c>
      <c r="BL53" s="57">
        <f>IF(AB53=0,0,IF(26=CARTÕES!$F53,CARTÕES!$E53-(CARTÕES!$F53-1)*ROUND(CARTÕES!$E53/CARTÕES!$F53,0),ROUND(CARTÕES!$E53/CARTÕES!$F53,0)))</f>
        <v/>
      </c>
      <c r="BM53" s="57">
        <f>IF(AC53=0,0,IF(27=CARTÕES!$F53,CARTÕES!$E53-(CARTÕES!$F53-1)*ROUND(CARTÕES!$E53/CARTÕES!$F53,0),ROUND(CARTÕES!$E53/CARTÕES!$F53,0)))</f>
        <v/>
      </c>
      <c r="BN53" s="57">
        <f>IF(AD53=0,0,IF(28=CARTÕES!$F53,CARTÕES!$E53-(CARTÕES!$F53-1)*ROUND(CARTÕES!$E53/CARTÕES!$F53,0),ROUND(CARTÕES!$E53/CARTÕES!$F53,0)))</f>
        <v/>
      </c>
      <c r="BO53" s="57">
        <f>IF(AE53=0,0,IF(29=CARTÕES!$F53,CARTÕES!$E53-(CARTÕES!$F53-1)*ROUND(CARTÕES!$E53/CARTÕES!$F53,0),ROUND(CARTÕES!$E53/CARTÕES!$F53,0)))</f>
        <v/>
      </c>
      <c r="BP53" s="57">
        <f>IF(AF53=0,0,IF(30=CARTÕES!$F53,CARTÕES!$E53-(CARTÕES!$F53-1)*ROUND(CARTÕES!$E53/CARTÕES!$F53,0),ROUND(CARTÕES!$E53/CARTÕES!$F53,0)))</f>
        <v/>
      </c>
      <c r="BQ53" s="57">
        <f>IF(AG53=0,0,IF(31=CARTÕES!$F53,CARTÕES!$E53-(CARTÕES!$F53-1)*ROUND(CARTÕES!$E53/CARTÕES!$F53,0),ROUND(CARTÕES!$E53/CARTÕES!$F53,0)))</f>
        <v/>
      </c>
      <c r="BR53" s="57">
        <f>IF(AH53=0,0,IF(32=CARTÕES!$F53,CARTÕES!$E53-(CARTÕES!$F53-1)*ROUND(CARTÕES!$E53/CARTÕES!$F53,0),ROUND(CARTÕES!$E53/CARTÕES!$F53,0)))</f>
        <v/>
      </c>
      <c r="BS53" s="57">
        <f>IF(AI53=0,0,IF(33=CARTÕES!$F53,CARTÕES!$E53-(CARTÕES!$F53-1)*ROUND(CARTÕES!$E53/CARTÕES!$F53,0),ROUND(CARTÕES!$E53/CARTÕES!$F53,0)))</f>
        <v/>
      </c>
      <c r="BT53" s="57">
        <f>IF(AJ53=0,0,IF(34=CARTÕES!$F53,CARTÕES!$E53-(CARTÕES!$F53-1)*ROUND(CARTÕES!$E53/CARTÕES!$F53,0),ROUND(CARTÕES!$E53/CARTÕES!$F53,0)))</f>
        <v/>
      </c>
      <c r="BU53" s="57">
        <f>IF(AK53=0,0,IF(35=CARTÕES!$F53,CARTÕES!$E53-(CARTÕES!$F53-1)*ROUND(CARTÕES!$E53/CARTÕES!$F53,0),ROUND(CARTÕES!$E53/CARTÕES!$F53,0)))</f>
        <v/>
      </c>
      <c r="BV53" s="57">
        <f>IF(AL53=0,0,IF(36=CARTÕES!$F53,CARTÕES!$E53-(CARTÕES!$F53-1)*ROUND(CARTÕES!$E53/CARTÕES!$F53,0),ROUND(CARTÕES!$E53/CARTÕES!$F53,0)))</f>
        <v/>
      </c>
    </row>
    <row r="54">
      <c r="A54" s="55">
        <f>IF(CARTÕES!$C54="","",CARTÕES!$C54)</f>
        <v/>
      </c>
      <c r="B54" s="56">
        <f>SUMPRODUCT((C54:AL54='RESUMO MENSAL'!$C$4)*AM54:BV54)</f>
        <v/>
      </c>
      <c r="C54" s="57">
        <f>IF(OR(CARTÕES!$K54=0,CARTÕES!$F54=""),0,IF(1&gt;CARTÕES!$F54,0,CARTÕES!$K54+1-1))</f>
        <v/>
      </c>
      <c r="D54" s="57">
        <f>IF(OR(CARTÕES!$K54=0,CARTÕES!$F54=""),0,IF(2&gt;CARTÕES!$F54,0,CARTÕES!$K54+2-1))</f>
        <v/>
      </c>
      <c r="E54" s="57">
        <f>IF(OR(CARTÕES!$K54=0,CARTÕES!$F54=""),0,IF(3&gt;CARTÕES!$F54,0,CARTÕES!$K54+3-1))</f>
        <v/>
      </c>
      <c r="F54" s="57">
        <f>IF(OR(CARTÕES!$K54=0,CARTÕES!$F54=""),0,IF(4&gt;CARTÕES!$F54,0,CARTÕES!$K54+4-1))</f>
        <v/>
      </c>
      <c r="G54" s="57">
        <f>IF(OR(CARTÕES!$K54=0,CARTÕES!$F54=""),0,IF(5&gt;CARTÕES!$F54,0,CARTÕES!$K54+5-1))</f>
        <v/>
      </c>
      <c r="H54" s="57">
        <f>IF(OR(CARTÕES!$K54=0,CARTÕES!$F54=""),0,IF(6&gt;CARTÕES!$F54,0,CARTÕES!$K54+6-1))</f>
        <v/>
      </c>
      <c r="I54" s="57">
        <f>IF(OR(CARTÕES!$K54=0,CARTÕES!$F54=""),0,IF(7&gt;CARTÕES!$F54,0,CARTÕES!$K54+7-1))</f>
        <v/>
      </c>
      <c r="J54" s="57">
        <f>IF(OR(CARTÕES!$K54=0,CARTÕES!$F54=""),0,IF(8&gt;CARTÕES!$F54,0,CARTÕES!$K54+8-1))</f>
        <v/>
      </c>
      <c r="K54" s="57">
        <f>IF(OR(CARTÕES!$K54=0,CARTÕES!$F54=""),0,IF(9&gt;CARTÕES!$F54,0,CARTÕES!$K54+9-1))</f>
        <v/>
      </c>
      <c r="L54" s="57">
        <f>IF(OR(CARTÕES!$K54=0,CARTÕES!$F54=""),0,IF(10&gt;CARTÕES!$F54,0,CARTÕES!$K54+10-1))</f>
        <v/>
      </c>
      <c r="M54" s="57">
        <f>IF(OR(CARTÕES!$K54=0,CARTÕES!$F54=""),0,IF(11&gt;CARTÕES!$F54,0,CARTÕES!$K54+11-1))</f>
        <v/>
      </c>
      <c r="N54" s="57">
        <f>IF(OR(CARTÕES!$K54=0,CARTÕES!$F54=""),0,IF(12&gt;CARTÕES!$F54,0,CARTÕES!$K54+12-1))</f>
        <v/>
      </c>
      <c r="O54" s="57">
        <f>IF(OR(CARTÕES!$K54=0,CARTÕES!$F54=""),0,IF(13&gt;CARTÕES!$F54,0,CARTÕES!$K54+13-1))</f>
        <v/>
      </c>
      <c r="P54" s="57">
        <f>IF(OR(CARTÕES!$K54=0,CARTÕES!$F54=""),0,IF(14&gt;CARTÕES!$F54,0,CARTÕES!$K54+14-1))</f>
        <v/>
      </c>
      <c r="Q54" s="57">
        <f>IF(OR(CARTÕES!$K54=0,CARTÕES!$F54=""),0,IF(15&gt;CARTÕES!$F54,0,CARTÕES!$K54+15-1))</f>
        <v/>
      </c>
      <c r="R54" s="57">
        <f>IF(OR(CARTÕES!$K54=0,CARTÕES!$F54=""),0,IF(16&gt;CARTÕES!$F54,0,CARTÕES!$K54+16-1))</f>
        <v/>
      </c>
      <c r="S54" s="57">
        <f>IF(OR(CARTÕES!$K54=0,CARTÕES!$F54=""),0,IF(17&gt;CARTÕES!$F54,0,CARTÕES!$K54+17-1))</f>
        <v/>
      </c>
      <c r="T54" s="57">
        <f>IF(OR(CARTÕES!$K54=0,CARTÕES!$F54=""),0,IF(18&gt;CARTÕES!$F54,0,CARTÕES!$K54+18-1))</f>
        <v/>
      </c>
      <c r="U54" s="57">
        <f>IF(OR(CARTÕES!$K54=0,CARTÕES!$F54=""),0,IF(19&gt;CARTÕES!$F54,0,CARTÕES!$K54+19-1))</f>
        <v/>
      </c>
      <c r="V54" s="57">
        <f>IF(OR(CARTÕES!$K54=0,CARTÕES!$F54=""),0,IF(20&gt;CARTÕES!$F54,0,CARTÕES!$K54+20-1))</f>
        <v/>
      </c>
      <c r="W54" s="57">
        <f>IF(OR(CARTÕES!$K54=0,CARTÕES!$F54=""),0,IF(21&gt;CARTÕES!$F54,0,CARTÕES!$K54+21-1))</f>
        <v/>
      </c>
      <c r="X54" s="57">
        <f>IF(OR(CARTÕES!$K54=0,CARTÕES!$F54=""),0,IF(22&gt;CARTÕES!$F54,0,CARTÕES!$K54+22-1))</f>
        <v/>
      </c>
      <c r="Y54" s="57">
        <f>IF(OR(CARTÕES!$K54=0,CARTÕES!$F54=""),0,IF(23&gt;CARTÕES!$F54,0,CARTÕES!$K54+23-1))</f>
        <v/>
      </c>
      <c r="Z54" s="57">
        <f>IF(OR(CARTÕES!$K54=0,CARTÕES!$F54=""),0,IF(24&gt;CARTÕES!$F54,0,CARTÕES!$K54+24-1))</f>
        <v/>
      </c>
      <c r="AA54" s="57">
        <f>IF(OR(CARTÕES!$K54=0,CARTÕES!$F54=""),0,IF(25&gt;CARTÕES!$F54,0,CARTÕES!$K54+25-1))</f>
        <v/>
      </c>
      <c r="AB54" s="57">
        <f>IF(OR(CARTÕES!$K54=0,CARTÕES!$F54=""),0,IF(26&gt;CARTÕES!$F54,0,CARTÕES!$K54+26-1))</f>
        <v/>
      </c>
      <c r="AC54" s="57">
        <f>IF(OR(CARTÕES!$K54=0,CARTÕES!$F54=""),0,IF(27&gt;CARTÕES!$F54,0,CARTÕES!$K54+27-1))</f>
        <v/>
      </c>
      <c r="AD54" s="57">
        <f>IF(OR(CARTÕES!$K54=0,CARTÕES!$F54=""),0,IF(28&gt;CARTÕES!$F54,0,CARTÕES!$K54+28-1))</f>
        <v/>
      </c>
      <c r="AE54" s="57">
        <f>IF(OR(CARTÕES!$K54=0,CARTÕES!$F54=""),0,IF(29&gt;CARTÕES!$F54,0,CARTÕES!$K54+29-1))</f>
        <v/>
      </c>
      <c r="AF54" s="57">
        <f>IF(OR(CARTÕES!$K54=0,CARTÕES!$F54=""),0,IF(30&gt;CARTÕES!$F54,0,CARTÕES!$K54+30-1))</f>
        <v/>
      </c>
      <c r="AG54" s="57">
        <f>IF(OR(CARTÕES!$K54=0,CARTÕES!$F54=""),0,IF(31&gt;CARTÕES!$F54,0,CARTÕES!$K54+31-1))</f>
        <v/>
      </c>
      <c r="AH54" s="57">
        <f>IF(OR(CARTÕES!$K54=0,CARTÕES!$F54=""),0,IF(32&gt;CARTÕES!$F54,0,CARTÕES!$K54+32-1))</f>
        <v/>
      </c>
      <c r="AI54" s="57">
        <f>IF(OR(CARTÕES!$K54=0,CARTÕES!$F54=""),0,IF(33&gt;CARTÕES!$F54,0,CARTÕES!$K54+33-1))</f>
        <v/>
      </c>
      <c r="AJ54" s="57">
        <f>IF(OR(CARTÕES!$K54=0,CARTÕES!$F54=""),0,IF(34&gt;CARTÕES!$F54,0,CARTÕES!$K54+34-1))</f>
        <v/>
      </c>
      <c r="AK54" s="57">
        <f>IF(OR(CARTÕES!$K54=0,CARTÕES!$F54=""),0,IF(35&gt;CARTÕES!$F54,0,CARTÕES!$K54+35-1))</f>
        <v/>
      </c>
      <c r="AL54" s="57">
        <f>IF(OR(CARTÕES!$K54=0,CARTÕES!$F54=""),0,IF(36&gt;CARTÕES!$F54,0,CARTÕES!$K54+36-1))</f>
        <v/>
      </c>
      <c r="AM54" s="57">
        <f>IF(C54=0,0,IF(1=CARTÕES!$F54,CARTÕES!$E54-(CARTÕES!$F54-1)*ROUND(CARTÕES!$E54/CARTÕES!$F54,0),ROUND(CARTÕES!$E54/CARTÕES!$F54,0)))</f>
        <v/>
      </c>
      <c r="AN54" s="57">
        <f>IF(D54=0,0,IF(2=CARTÕES!$F54,CARTÕES!$E54-(CARTÕES!$F54-1)*ROUND(CARTÕES!$E54/CARTÕES!$F54,0),ROUND(CARTÕES!$E54/CARTÕES!$F54,0)))</f>
        <v/>
      </c>
      <c r="AO54" s="57">
        <f>IF(E54=0,0,IF(3=CARTÕES!$F54,CARTÕES!$E54-(CARTÕES!$F54-1)*ROUND(CARTÕES!$E54/CARTÕES!$F54,0),ROUND(CARTÕES!$E54/CARTÕES!$F54,0)))</f>
        <v/>
      </c>
      <c r="AP54" s="57">
        <f>IF(F54=0,0,IF(4=CARTÕES!$F54,CARTÕES!$E54-(CARTÕES!$F54-1)*ROUND(CARTÕES!$E54/CARTÕES!$F54,0),ROUND(CARTÕES!$E54/CARTÕES!$F54,0)))</f>
        <v/>
      </c>
      <c r="AQ54" s="57">
        <f>IF(G54=0,0,IF(5=CARTÕES!$F54,CARTÕES!$E54-(CARTÕES!$F54-1)*ROUND(CARTÕES!$E54/CARTÕES!$F54,0),ROUND(CARTÕES!$E54/CARTÕES!$F54,0)))</f>
        <v/>
      </c>
      <c r="AR54" s="57">
        <f>IF(H54=0,0,IF(6=CARTÕES!$F54,CARTÕES!$E54-(CARTÕES!$F54-1)*ROUND(CARTÕES!$E54/CARTÕES!$F54,0),ROUND(CARTÕES!$E54/CARTÕES!$F54,0)))</f>
        <v/>
      </c>
      <c r="AS54" s="57">
        <f>IF(I54=0,0,IF(7=CARTÕES!$F54,CARTÕES!$E54-(CARTÕES!$F54-1)*ROUND(CARTÕES!$E54/CARTÕES!$F54,0),ROUND(CARTÕES!$E54/CARTÕES!$F54,0)))</f>
        <v/>
      </c>
      <c r="AT54" s="57">
        <f>IF(J54=0,0,IF(8=CARTÕES!$F54,CARTÕES!$E54-(CARTÕES!$F54-1)*ROUND(CARTÕES!$E54/CARTÕES!$F54,0),ROUND(CARTÕES!$E54/CARTÕES!$F54,0)))</f>
        <v/>
      </c>
      <c r="AU54" s="57">
        <f>IF(K54=0,0,IF(9=CARTÕES!$F54,CARTÕES!$E54-(CARTÕES!$F54-1)*ROUND(CARTÕES!$E54/CARTÕES!$F54,0),ROUND(CARTÕES!$E54/CARTÕES!$F54,0)))</f>
        <v/>
      </c>
      <c r="AV54" s="57">
        <f>IF(L54=0,0,IF(10=CARTÕES!$F54,CARTÕES!$E54-(CARTÕES!$F54-1)*ROUND(CARTÕES!$E54/CARTÕES!$F54,0),ROUND(CARTÕES!$E54/CARTÕES!$F54,0)))</f>
        <v/>
      </c>
      <c r="AW54" s="57">
        <f>IF(M54=0,0,IF(11=CARTÕES!$F54,CARTÕES!$E54-(CARTÕES!$F54-1)*ROUND(CARTÕES!$E54/CARTÕES!$F54,0),ROUND(CARTÕES!$E54/CARTÕES!$F54,0)))</f>
        <v/>
      </c>
      <c r="AX54" s="57">
        <f>IF(N54=0,0,IF(12=CARTÕES!$F54,CARTÕES!$E54-(CARTÕES!$F54-1)*ROUND(CARTÕES!$E54/CARTÕES!$F54,0),ROUND(CARTÕES!$E54/CARTÕES!$F54,0)))</f>
        <v/>
      </c>
      <c r="AY54" s="57">
        <f>IF(O54=0,0,IF(13=CARTÕES!$F54,CARTÕES!$E54-(CARTÕES!$F54-1)*ROUND(CARTÕES!$E54/CARTÕES!$F54,0),ROUND(CARTÕES!$E54/CARTÕES!$F54,0)))</f>
        <v/>
      </c>
      <c r="AZ54" s="57">
        <f>IF(P54=0,0,IF(14=CARTÕES!$F54,CARTÕES!$E54-(CARTÕES!$F54-1)*ROUND(CARTÕES!$E54/CARTÕES!$F54,0),ROUND(CARTÕES!$E54/CARTÕES!$F54,0)))</f>
        <v/>
      </c>
      <c r="BA54" s="57">
        <f>IF(Q54=0,0,IF(15=CARTÕES!$F54,CARTÕES!$E54-(CARTÕES!$F54-1)*ROUND(CARTÕES!$E54/CARTÕES!$F54,0),ROUND(CARTÕES!$E54/CARTÕES!$F54,0)))</f>
        <v/>
      </c>
      <c r="BB54" s="57">
        <f>IF(R54=0,0,IF(16=CARTÕES!$F54,CARTÕES!$E54-(CARTÕES!$F54-1)*ROUND(CARTÕES!$E54/CARTÕES!$F54,0),ROUND(CARTÕES!$E54/CARTÕES!$F54,0)))</f>
        <v/>
      </c>
      <c r="BC54" s="57">
        <f>IF(S54=0,0,IF(17=CARTÕES!$F54,CARTÕES!$E54-(CARTÕES!$F54-1)*ROUND(CARTÕES!$E54/CARTÕES!$F54,0),ROUND(CARTÕES!$E54/CARTÕES!$F54,0)))</f>
        <v/>
      </c>
      <c r="BD54" s="57">
        <f>IF(T54=0,0,IF(18=CARTÕES!$F54,CARTÕES!$E54-(CARTÕES!$F54-1)*ROUND(CARTÕES!$E54/CARTÕES!$F54,0),ROUND(CARTÕES!$E54/CARTÕES!$F54,0)))</f>
        <v/>
      </c>
      <c r="BE54" s="57">
        <f>IF(U54=0,0,IF(19=CARTÕES!$F54,CARTÕES!$E54-(CARTÕES!$F54-1)*ROUND(CARTÕES!$E54/CARTÕES!$F54,0),ROUND(CARTÕES!$E54/CARTÕES!$F54,0)))</f>
        <v/>
      </c>
      <c r="BF54" s="57">
        <f>IF(V54=0,0,IF(20=CARTÕES!$F54,CARTÕES!$E54-(CARTÕES!$F54-1)*ROUND(CARTÕES!$E54/CARTÕES!$F54,0),ROUND(CARTÕES!$E54/CARTÕES!$F54,0)))</f>
        <v/>
      </c>
      <c r="BG54" s="57">
        <f>IF(W54=0,0,IF(21=CARTÕES!$F54,CARTÕES!$E54-(CARTÕES!$F54-1)*ROUND(CARTÕES!$E54/CARTÕES!$F54,0),ROUND(CARTÕES!$E54/CARTÕES!$F54,0)))</f>
        <v/>
      </c>
      <c r="BH54" s="57">
        <f>IF(X54=0,0,IF(22=CARTÕES!$F54,CARTÕES!$E54-(CARTÕES!$F54-1)*ROUND(CARTÕES!$E54/CARTÕES!$F54,0),ROUND(CARTÕES!$E54/CARTÕES!$F54,0)))</f>
        <v/>
      </c>
      <c r="BI54" s="57">
        <f>IF(Y54=0,0,IF(23=CARTÕES!$F54,CARTÕES!$E54-(CARTÕES!$F54-1)*ROUND(CARTÕES!$E54/CARTÕES!$F54,0),ROUND(CARTÕES!$E54/CARTÕES!$F54,0)))</f>
        <v/>
      </c>
      <c r="BJ54" s="57">
        <f>IF(Z54=0,0,IF(24=CARTÕES!$F54,CARTÕES!$E54-(CARTÕES!$F54-1)*ROUND(CARTÕES!$E54/CARTÕES!$F54,0),ROUND(CARTÕES!$E54/CARTÕES!$F54,0)))</f>
        <v/>
      </c>
      <c r="BK54" s="57">
        <f>IF(AA54=0,0,IF(25=CARTÕES!$F54,CARTÕES!$E54-(CARTÕES!$F54-1)*ROUND(CARTÕES!$E54/CARTÕES!$F54,0),ROUND(CARTÕES!$E54/CARTÕES!$F54,0)))</f>
        <v/>
      </c>
      <c r="BL54" s="57">
        <f>IF(AB54=0,0,IF(26=CARTÕES!$F54,CARTÕES!$E54-(CARTÕES!$F54-1)*ROUND(CARTÕES!$E54/CARTÕES!$F54,0),ROUND(CARTÕES!$E54/CARTÕES!$F54,0)))</f>
        <v/>
      </c>
      <c r="BM54" s="57">
        <f>IF(AC54=0,0,IF(27=CARTÕES!$F54,CARTÕES!$E54-(CARTÕES!$F54-1)*ROUND(CARTÕES!$E54/CARTÕES!$F54,0),ROUND(CARTÕES!$E54/CARTÕES!$F54,0)))</f>
        <v/>
      </c>
      <c r="BN54" s="57">
        <f>IF(AD54=0,0,IF(28=CARTÕES!$F54,CARTÕES!$E54-(CARTÕES!$F54-1)*ROUND(CARTÕES!$E54/CARTÕES!$F54,0),ROUND(CARTÕES!$E54/CARTÕES!$F54,0)))</f>
        <v/>
      </c>
      <c r="BO54" s="57">
        <f>IF(AE54=0,0,IF(29=CARTÕES!$F54,CARTÕES!$E54-(CARTÕES!$F54-1)*ROUND(CARTÕES!$E54/CARTÕES!$F54,0),ROUND(CARTÕES!$E54/CARTÕES!$F54,0)))</f>
        <v/>
      </c>
      <c r="BP54" s="57">
        <f>IF(AF54=0,0,IF(30=CARTÕES!$F54,CARTÕES!$E54-(CARTÕES!$F54-1)*ROUND(CARTÕES!$E54/CARTÕES!$F54,0),ROUND(CARTÕES!$E54/CARTÕES!$F54,0)))</f>
        <v/>
      </c>
      <c r="BQ54" s="57">
        <f>IF(AG54=0,0,IF(31=CARTÕES!$F54,CARTÕES!$E54-(CARTÕES!$F54-1)*ROUND(CARTÕES!$E54/CARTÕES!$F54,0),ROUND(CARTÕES!$E54/CARTÕES!$F54,0)))</f>
        <v/>
      </c>
      <c r="BR54" s="57">
        <f>IF(AH54=0,0,IF(32=CARTÕES!$F54,CARTÕES!$E54-(CARTÕES!$F54-1)*ROUND(CARTÕES!$E54/CARTÕES!$F54,0),ROUND(CARTÕES!$E54/CARTÕES!$F54,0)))</f>
        <v/>
      </c>
      <c r="BS54" s="57">
        <f>IF(AI54=0,0,IF(33=CARTÕES!$F54,CARTÕES!$E54-(CARTÕES!$F54-1)*ROUND(CARTÕES!$E54/CARTÕES!$F54,0),ROUND(CARTÕES!$E54/CARTÕES!$F54,0)))</f>
        <v/>
      </c>
      <c r="BT54" s="57">
        <f>IF(AJ54=0,0,IF(34=CARTÕES!$F54,CARTÕES!$E54-(CARTÕES!$F54-1)*ROUND(CARTÕES!$E54/CARTÕES!$F54,0),ROUND(CARTÕES!$E54/CARTÕES!$F54,0)))</f>
        <v/>
      </c>
      <c r="BU54" s="57">
        <f>IF(AK54=0,0,IF(35=CARTÕES!$F54,CARTÕES!$E54-(CARTÕES!$F54-1)*ROUND(CARTÕES!$E54/CARTÕES!$F54,0),ROUND(CARTÕES!$E54/CARTÕES!$F54,0)))</f>
        <v/>
      </c>
      <c r="BV54" s="57">
        <f>IF(AL54=0,0,IF(36=CARTÕES!$F54,CARTÕES!$E54-(CARTÕES!$F54-1)*ROUND(CARTÕES!$E54/CARTÕES!$F54,0),ROUND(CARTÕES!$E54/CARTÕES!$F54,0)))</f>
        <v/>
      </c>
    </row>
    <row r="55">
      <c r="A55" s="55">
        <f>IF(CARTÕES!$C55="","",CARTÕES!$C55)</f>
        <v/>
      </c>
      <c r="B55" s="56">
        <f>SUMPRODUCT((C55:AL55='RESUMO MENSAL'!$C$4)*AM55:BV55)</f>
        <v/>
      </c>
      <c r="C55" s="57">
        <f>IF(OR(CARTÕES!$K55=0,CARTÕES!$F55=""),0,IF(1&gt;CARTÕES!$F55,0,CARTÕES!$K55+1-1))</f>
        <v/>
      </c>
      <c r="D55" s="57">
        <f>IF(OR(CARTÕES!$K55=0,CARTÕES!$F55=""),0,IF(2&gt;CARTÕES!$F55,0,CARTÕES!$K55+2-1))</f>
        <v/>
      </c>
      <c r="E55" s="57">
        <f>IF(OR(CARTÕES!$K55=0,CARTÕES!$F55=""),0,IF(3&gt;CARTÕES!$F55,0,CARTÕES!$K55+3-1))</f>
        <v/>
      </c>
      <c r="F55" s="57">
        <f>IF(OR(CARTÕES!$K55=0,CARTÕES!$F55=""),0,IF(4&gt;CARTÕES!$F55,0,CARTÕES!$K55+4-1))</f>
        <v/>
      </c>
      <c r="G55" s="57">
        <f>IF(OR(CARTÕES!$K55=0,CARTÕES!$F55=""),0,IF(5&gt;CARTÕES!$F55,0,CARTÕES!$K55+5-1))</f>
        <v/>
      </c>
      <c r="H55" s="57">
        <f>IF(OR(CARTÕES!$K55=0,CARTÕES!$F55=""),0,IF(6&gt;CARTÕES!$F55,0,CARTÕES!$K55+6-1))</f>
        <v/>
      </c>
      <c r="I55" s="57">
        <f>IF(OR(CARTÕES!$K55=0,CARTÕES!$F55=""),0,IF(7&gt;CARTÕES!$F55,0,CARTÕES!$K55+7-1))</f>
        <v/>
      </c>
      <c r="J55" s="57">
        <f>IF(OR(CARTÕES!$K55=0,CARTÕES!$F55=""),0,IF(8&gt;CARTÕES!$F55,0,CARTÕES!$K55+8-1))</f>
        <v/>
      </c>
      <c r="K55" s="57">
        <f>IF(OR(CARTÕES!$K55=0,CARTÕES!$F55=""),0,IF(9&gt;CARTÕES!$F55,0,CARTÕES!$K55+9-1))</f>
        <v/>
      </c>
      <c r="L55" s="57">
        <f>IF(OR(CARTÕES!$K55=0,CARTÕES!$F55=""),0,IF(10&gt;CARTÕES!$F55,0,CARTÕES!$K55+10-1))</f>
        <v/>
      </c>
      <c r="M55" s="57">
        <f>IF(OR(CARTÕES!$K55=0,CARTÕES!$F55=""),0,IF(11&gt;CARTÕES!$F55,0,CARTÕES!$K55+11-1))</f>
        <v/>
      </c>
      <c r="N55" s="57">
        <f>IF(OR(CARTÕES!$K55=0,CARTÕES!$F55=""),0,IF(12&gt;CARTÕES!$F55,0,CARTÕES!$K55+12-1))</f>
        <v/>
      </c>
      <c r="O55" s="57">
        <f>IF(OR(CARTÕES!$K55=0,CARTÕES!$F55=""),0,IF(13&gt;CARTÕES!$F55,0,CARTÕES!$K55+13-1))</f>
        <v/>
      </c>
      <c r="P55" s="57">
        <f>IF(OR(CARTÕES!$K55=0,CARTÕES!$F55=""),0,IF(14&gt;CARTÕES!$F55,0,CARTÕES!$K55+14-1))</f>
        <v/>
      </c>
      <c r="Q55" s="57">
        <f>IF(OR(CARTÕES!$K55=0,CARTÕES!$F55=""),0,IF(15&gt;CARTÕES!$F55,0,CARTÕES!$K55+15-1))</f>
        <v/>
      </c>
      <c r="R55" s="57">
        <f>IF(OR(CARTÕES!$K55=0,CARTÕES!$F55=""),0,IF(16&gt;CARTÕES!$F55,0,CARTÕES!$K55+16-1))</f>
        <v/>
      </c>
      <c r="S55" s="57">
        <f>IF(OR(CARTÕES!$K55=0,CARTÕES!$F55=""),0,IF(17&gt;CARTÕES!$F55,0,CARTÕES!$K55+17-1))</f>
        <v/>
      </c>
      <c r="T55" s="57">
        <f>IF(OR(CARTÕES!$K55=0,CARTÕES!$F55=""),0,IF(18&gt;CARTÕES!$F55,0,CARTÕES!$K55+18-1))</f>
        <v/>
      </c>
      <c r="U55" s="57">
        <f>IF(OR(CARTÕES!$K55=0,CARTÕES!$F55=""),0,IF(19&gt;CARTÕES!$F55,0,CARTÕES!$K55+19-1))</f>
        <v/>
      </c>
      <c r="V55" s="57">
        <f>IF(OR(CARTÕES!$K55=0,CARTÕES!$F55=""),0,IF(20&gt;CARTÕES!$F55,0,CARTÕES!$K55+20-1))</f>
        <v/>
      </c>
      <c r="W55" s="57">
        <f>IF(OR(CARTÕES!$K55=0,CARTÕES!$F55=""),0,IF(21&gt;CARTÕES!$F55,0,CARTÕES!$K55+21-1))</f>
        <v/>
      </c>
      <c r="X55" s="57">
        <f>IF(OR(CARTÕES!$K55=0,CARTÕES!$F55=""),0,IF(22&gt;CARTÕES!$F55,0,CARTÕES!$K55+22-1))</f>
        <v/>
      </c>
      <c r="Y55" s="57">
        <f>IF(OR(CARTÕES!$K55=0,CARTÕES!$F55=""),0,IF(23&gt;CARTÕES!$F55,0,CARTÕES!$K55+23-1))</f>
        <v/>
      </c>
      <c r="Z55" s="57">
        <f>IF(OR(CARTÕES!$K55=0,CARTÕES!$F55=""),0,IF(24&gt;CARTÕES!$F55,0,CARTÕES!$K55+24-1))</f>
        <v/>
      </c>
      <c r="AA55" s="57">
        <f>IF(OR(CARTÕES!$K55=0,CARTÕES!$F55=""),0,IF(25&gt;CARTÕES!$F55,0,CARTÕES!$K55+25-1))</f>
        <v/>
      </c>
      <c r="AB55" s="57">
        <f>IF(OR(CARTÕES!$K55=0,CARTÕES!$F55=""),0,IF(26&gt;CARTÕES!$F55,0,CARTÕES!$K55+26-1))</f>
        <v/>
      </c>
      <c r="AC55" s="57">
        <f>IF(OR(CARTÕES!$K55=0,CARTÕES!$F55=""),0,IF(27&gt;CARTÕES!$F55,0,CARTÕES!$K55+27-1))</f>
        <v/>
      </c>
      <c r="AD55" s="57">
        <f>IF(OR(CARTÕES!$K55=0,CARTÕES!$F55=""),0,IF(28&gt;CARTÕES!$F55,0,CARTÕES!$K55+28-1))</f>
        <v/>
      </c>
      <c r="AE55" s="57">
        <f>IF(OR(CARTÕES!$K55=0,CARTÕES!$F55=""),0,IF(29&gt;CARTÕES!$F55,0,CARTÕES!$K55+29-1))</f>
        <v/>
      </c>
      <c r="AF55" s="57">
        <f>IF(OR(CARTÕES!$K55=0,CARTÕES!$F55=""),0,IF(30&gt;CARTÕES!$F55,0,CARTÕES!$K55+30-1))</f>
        <v/>
      </c>
      <c r="AG55" s="57">
        <f>IF(OR(CARTÕES!$K55=0,CARTÕES!$F55=""),0,IF(31&gt;CARTÕES!$F55,0,CARTÕES!$K55+31-1))</f>
        <v/>
      </c>
      <c r="AH55" s="57">
        <f>IF(OR(CARTÕES!$K55=0,CARTÕES!$F55=""),0,IF(32&gt;CARTÕES!$F55,0,CARTÕES!$K55+32-1))</f>
        <v/>
      </c>
      <c r="AI55" s="57">
        <f>IF(OR(CARTÕES!$K55=0,CARTÕES!$F55=""),0,IF(33&gt;CARTÕES!$F55,0,CARTÕES!$K55+33-1))</f>
        <v/>
      </c>
      <c r="AJ55" s="57">
        <f>IF(OR(CARTÕES!$K55=0,CARTÕES!$F55=""),0,IF(34&gt;CARTÕES!$F55,0,CARTÕES!$K55+34-1))</f>
        <v/>
      </c>
      <c r="AK55" s="57">
        <f>IF(OR(CARTÕES!$K55=0,CARTÕES!$F55=""),0,IF(35&gt;CARTÕES!$F55,0,CARTÕES!$K55+35-1))</f>
        <v/>
      </c>
      <c r="AL55" s="57">
        <f>IF(OR(CARTÕES!$K55=0,CARTÕES!$F55=""),0,IF(36&gt;CARTÕES!$F55,0,CARTÕES!$K55+36-1))</f>
        <v/>
      </c>
      <c r="AM55" s="57">
        <f>IF(C55=0,0,IF(1=CARTÕES!$F55,CARTÕES!$E55-(CARTÕES!$F55-1)*ROUND(CARTÕES!$E55/CARTÕES!$F55,0),ROUND(CARTÕES!$E55/CARTÕES!$F55,0)))</f>
        <v/>
      </c>
      <c r="AN55" s="57">
        <f>IF(D55=0,0,IF(2=CARTÕES!$F55,CARTÕES!$E55-(CARTÕES!$F55-1)*ROUND(CARTÕES!$E55/CARTÕES!$F55,0),ROUND(CARTÕES!$E55/CARTÕES!$F55,0)))</f>
        <v/>
      </c>
      <c r="AO55" s="57">
        <f>IF(E55=0,0,IF(3=CARTÕES!$F55,CARTÕES!$E55-(CARTÕES!$F55-1)*ROUND(CARTÕES!$E55/CARTÕES!$F55,0),ROUND(CARTÕES!$E55/CARTÕES!$F55,0)))</f>
        <v/>
      </c>
      <c r="AP55" s="57">
        <f>IF(F55=0,0,IF(4=CARTÕES!$F55,CARTÕES!$E55-(CARTÕES!$F55-1)*ROUND(CARTÕES!$E55/CARTÕES!$F55,0),ROUND(CARTÕES!$E55/CARTÕES!$F55,0)))</f>
        <v/>
      </c>
      <c r="AQ55" s="57">
        <f>IF(G55=0,0,IF(5=CARTÕES!$F55,CARTÕES!$E55-(CARTÕES!$F55-1)*ROUND(CARTÕES!$E55/CARTÕES!$F55,0),ROUND(CARTÕES!$E55/CARTÕES!$F55,0)))</f>
        <v/>
      </c>
      <c r="AR55" s="57">
        <f>IF(H55=0,0,IF(6=CARTÕES!$F55,CARTÕES!$E55-(CARTÕES!$F55-1)*ROUND(CARTÕES!$E55/CARTÕES!$F55,0),ROUND(CARTÕES!$E55/CARTÕES!$F55,0)))</f>
        <v/>
      </c>
      <c r="AS55" s="57">
        <f>IF(I55=0,0,IF(7=CARTÕES!$F55,CARTÕES!$E55-(CARTÕES!$F55-1)*ROUND(CARTÕES!$E55/CARTÕES!$F55,0),ROUND(CARTÕES!$E55/CARTÕES!$F55,0)))</f>
        <v/>
      </c>
      <c r="AT55" s="57">
        <f>IF(J55=0,0,IF(8=CARTÕES!$F55,CARTÕES!$E55-(CARTÕES!$F55-1)*ROUND(CARTÕES!$E55/CARTÕES!$F55,0),ROUND(CARTÕES!$E55/CARTÕES!$F55,0)))</f>
        <v/>
      </c>
      <c r="AU55" s="57">
        <f>IF(K55=0,0,IF(9=CARTÕES!$F55,CARTÕES!$E55-(CARTÕES!$F55-1)*ROUND(CARTÕES!$E55/CARTÕES!$F55,0),ROUND(CARTÕES!$E55/CARTÕES!$F55,0)))</f>
        <v/>
      </c>
      <c r="AV55" s="57">
        <f>IF(L55=0,0,IF(10=CARTÕES!$F55,CARTÕES!$E55-(CARTÕES!$F55-1)*ROUND(CARTÕES!$E55/CARTÕES!$F55,0),ROUND(CARTÕES!$E55/CARTÕES!$F55,0)))</f>
        <v/>
      </c>
      <c r="AW55" s="57">
        <f>IF(M55=0,0,IF(11=CARTÕES!$F55,CARTÕES!$E55-(CARTÕES!$F55-1)*ROUND(CARTÕES!$E55/CARTÕES!$F55,0),ROUND(CARTÕES!$E55/CARTÕES!$F55,0)))</f>
        <v/>
      </c>
      <c r="AX55" s="57">
        <f>IF(N55=0,0,IF(12=CARTÕES!$F55,CARTÕES!$E55-(CARTÕES!$F55-1)*ROUND(CARTÕES!$E55/CARTÕES!$F55,0),ROUND(CARTÕES!$E55/CARTÕES!$F55,0)))</f>
        <v/>
      </c>
      <c r="AY55" s="57">
        <f>IF(O55=0,0,IF(13=CARTÕES!$F55,CARTÕES!$E55-(CARTÕES!$F55-1)*ROUND(CARTÕES!$E55/CARTÕES!$F55,0),ROUND(CARTÕES!$E55/CARTÕES!$F55,0)))</f>
        <v/>
      </c>
      <c r="AZ55" s="57">
        <f>IF(P55=0,0,IF(14=CARTÕES!$F55,CARTÕES!$E55-(CARTÕES!$F55-1)*ROUND(CARTÕES!$E55/CARTÕES!$F55,0),ROUND(CARTÕES!$E55/CARTÕES!$F55,0)))</f>
        <v/>
      </c>
      <c r="BA55" s="57">
        <f>IF(Q55=0,0,IF(15=CARTÕES!$F55,CARTÕES!$E55-(CARTÕES!$F55-1)*ROUND(CARTÕES!$E55/CARTÕES!$F55,0),ROUND(CARTÕES!$E55/CARTÕES!$F55,0)))</f>
        <v/>
      </c>
      <c r="BB55" s="57">
        <f>IF(R55=0,0,IF(16=CARTÕES!$F55,CARTÕES!$E55-(CARTÕES!$F55-1)*ROUND(CARTÕES!$E55/CARTÕES!$F55,0),ROUND(CARTÕES!$E55/CARTÕES!$F55,0)))</f>
        <v/>
      </c>
      <c r="BC55" s="57">
        <f>IF(S55=0,0,IF(17=CARTÕES!$F55,CARTÕES!$E55-(CARTÕES!$F55-1)*ROUND(CARTÕES!$E55/CARTÕES!$F55,0),ROUND(CARTÕES!$E55/CARTÕES!$F55,0)))</f>
        <v/>
      </c>
      <c r="BD55" s="57">
        <f>IF(T55=0,0,IF(18=CARTÕES!$F55,CARTÕES!$E55-(CARTÕES!$F55-1)*ROUND(CARTÕES!$E55/CARTÕES!$F55,0),ROUND(CARTÕES!$E55/CARTÕES!$F55,0)))</f>
        <v/>
      </c>
      <c r="BE55" s="57">
        <f>IF(U55=0,0,IF(19=CARTÕES!$F55,CARTÕES!$E55-(CARTÕES!$F55-1)*ROUND(CARTÕES!$E55/CARTÕES!$F55,0),ROUND(CARTÕES!$E55/CARTÕES!$F55,0)))</f>
        <v/>
      </c>
      <c r="BF55" s="57">
        <f>IF(V55=0,0,IF(20=CARTÕES!$F55,CARTÕES!$E55-(CARTÕES!$F55-1)*ROUND(CARTÕES!$E55/CARTÕES!$F55,0),ROUND(CARTÕES!$E55/CARTÕES!$F55,0)))</f>
        <v/>
      </c>
      <c r="BG55" s="57">
        <f>IF(W55=0,0,IF(21=CARTÕES!$F55,CARTÕES!$E55-(CARTÕES!$F55-1)*ROUND(CARTÕES!$E55/CARTÕES!$F55,0),ROUND(CARTÕES!$E55/CARTÕES!$F55,0)))</f>
        <v/>
      </c>
      <c r="BH55" s="57">
        <f>IF(X55=0,0,IF(22=CARTÕES!$F55,CARTÕES!$E55-(CARTÕES!$F55-1)*ROUND(CARTÕES!$E55/CARTÕES!$F55,0),ROUND(CARTÕES!$E55/CARTÕES!$F55,0)))</f>
        <v/>
      </c>
      <c r="BI55" s="57">
        <f>IF(Y55=0,0,IF(23=CARTÕES!$F55,CARTÕES!$E55-(CARTÕES!$F55-1)*ROUND(CARTÕES!$E55/CARTÕES!$F55,0),ROUND(CARTÕES!$E55/CARTÕES!$F55,0)))</f>
        <v/>
      </c>
      <c r="BJ55" s="57">
        <f>IF(Z55=0,0,IF(24=CARTÕES!$F55,CARTÕES!$E55-(CARTÕES!$F55-1)*ROUND(CARTÕES!$E55/CARTÕES!$F55,0),ROUND(CARTÕES!$E55/CARTÕES!$F55,0)))</f>
        <v/>
      </c>
      <c r="BK55" s="57">
        <f>IF(AA55=0,0,IF(25=CARTÕES!$F55,CARTÕES!$E55-(CARTÕES!$F55-1)*ROUND(CARTÕES!$E55/CARTÕES!$F55,0),ROUND(CARTÕES!$E55/CARTÕES!$F55,0)))</f>
        <v/>
      </c>
      <c r="BL55" s="57">
        <f>IF(AB55=0,0,IF(26=CARTÕES!$F55,CARTÕES!$E55-(CARTÕES!$F55-1)*ROUND(CARTÕES!$E55/CARTÕES!$F55,0),ROUND(CARTÕES!$E55/CARTÕES!$F55,0)))</f>
        <v/>
      </c>
      <c r="BM55" s="57">
        <f>IF(AC55=0,0,IF(27=CARTÕES!$F55,CARTÕES!$E55-(CARTÕES!$F55-1)*ROUND(CARTÕES!$E55/CARTÕES!$F55,0),ROUND(CARTÕES!$E55/CARTÕES!$F55,0)))</f>
        <v/>
      </c>
      <c r="BN55" s="57">
        <f>IF(AD55=0,0,IF(28=CARTÕES!$F55,CARTÕES!$E55-(CARTÕES!$F55-1)*ROUND(CARTÕES!$E55/CARTÕES!$F55,0),ROUND(CARTÕES!$E55/CARTÕES!$F55,0)))</f>
        <v/>
      </c>
      <c r="BO55" s="57">
        <f>IF(AE55=0,0,IF(29=CARTÕES!$F55,CARTÕES!$E55-(CARTÕES!$F55-1)*ROUND(CARTÕES!$E55/CARTÕES!$F55,0),ROUND(CARTÕES!$E55/CARTÕES!$F55,0)))</f>
        <v/>
      </c>
      <c r="BP55" s="57">
        <f>IF(AF55=0,0,IF(30=CARTÕES!$F55,CARTÕES!$E55-(CARTÕES!$F55-1)*ROUND(CARTÕES!$E55/CARTÕES!$F55,0),ROUND(CARTÕES!$E55/CARTÕES!$F55,0)))</f>
        <v/>
      </c>
      <c r="BQ55" s="57">
        <f>IF(AG55=0,0,IF(31=CARTÕES!$F55,CARTÕES!$E55-(CARTÕES!$F55-1)*ROUND(CARTÕES!$E55/CARTÕES!$F55,0),ROUND(CARTÕES!$E55/CARTÕES!$F55,0)))</f>
        <v/>
      </c>
      <c r="BR55" s="57">
        <f>IF(AH55=0,0,IF(32=CARTÕES!$F55,CARTÕES!$E55-(CARTÕES!$F55-1)*ROUND(CARTÕES!$E55/CARTÕES!$F55,0),ROUND(CARTÕES!$E55/CARTÕES!$F55,0)))</f>
        <v/>
      </c>
      <c r="BS55" s="57">
        <f>IF(AI55=0,0,IF(33=CARTÕES!$F55,CARTÕES!$E55-(CARTÕES!$F55-1)*ROUND(CARTÕES!$E55/CARTÕES!$F55,0),ROUND(CARTÕES!$E55/CARTÕES!$F55,0)))</f>
        <v/>
      </c>
      <c r="BT55" s="57">
        <f>IF(AJ55=0,0,IF(34=CARTÕES!$F55,CARTÕES!$E55-(CARTÕES!$F55-1)*ROUND(CARTÕES!$E55/CARTÕES!$F55,0),ROUND(CARTÕES!$E55/CARTÕES!$F55,0)))</f>
        <v/>
      </c>
      <c r="BU55" s="57">
        <f>IF(AK55=0,0,IF(35=CARTÕES!$F55,CARTÕES!$E55-(CARTÕES!$F55-1)*ROUND(CARTÕES!$E55/CARTÕES!$F55,0),ROUND(CARTÕES!$E55/CARTÕES!$F55,0)))</f>
        <v/>
      </c>
      <c r="BV55" s="57">
        <f>IF(AL55=0,0,IF(36=CARTÕES!$F55,CARTÕES!$E55-(CARTÕES!$F55-1)*ROUND(CARTÕES!$E55/CARTÕES!$F55,0),ROUND(CARTÕES!$E55/CARTÕES!$F55,0)))</f>
        <v/>
      </c>
    </row>
    <row r="56">
      <c r="A56" s="55">
        <f>IF(CARTÕES!$C56="","",CARTÕES!$C56)</f>
        <v/>
      </c>
      <c r="B56" s="56">
        <f>SUMPRODUCT((C56:AL56='RESUMO MENSAL'!$C$4)*AM56:BV56)</f>
        <v/>
      </c>
      <c r="C56" s="57">
        <f>IF(OR(CARTÕES!$K56=0,CARTÕES!$F56=""),0,IF(1&gt;CARTÕES!$F56,0,CARTÕES!$K56+1-1))</f>
        <v/>
      </c>
      <c r="D56" s="57">
        <f>IF(OR(CARTÕES!$K56=0,CARTÕES!$F56=""),0,IF(2&gt;CARTÕES!$F56,0,CARTÕES!$K56+2-1))</f>
        <v/>
      </c>
      <c r="E56" s="57">
        <f>IF(OR(CARTÕES!$K56=0,CARTÕES!$F56=""),0,IF(3&gt;CARTÕES!$F56,0,CARTÕES!$K56+3-1))</f>
        <v/>
      </c>
      <c r="F56" s="57">
        <f>IF(OR(CARTÕES!$K56=0,CARTÕES!$F56=""),0,IF(4&gt;CARTÕES!$F56,0,CARTÕES!$K56+4-1))</f>
        <v/>
      </c>
      <c r="G56" s="57">
        <f>IF(OR(CARTÕES!$K56=0,CARTÕES!$F56=""),0,IF(5&gt;CARTÕES!$F56,0,CARTÕES!$K56+5-1))</f>
        <v/>
      </c>
      <c r="H56" s="57">
        <f>IF(OR(CARTÕES!$K56=0,CARTÕES!$F56=""),0,IF(6&gt;CARTÕES!$F56,0,CARTÕES!$K56+6-1))</f>
        <v/>
      </c>
      <c r="I56" s="57">
        <f>IF(OR(CARTÕES!$K56=0,CARTÕES!$F56=""),0,IF(7&gt;CARTÕES!$F56,0,CARTÕES!$K56+7-1))</f>
        <v/>
      </c>
      <c r="J56" s="57">
        <f>IF(OR(CARTÕES!$K56=0,CARTÕES!$F56=""),0,IF(8&gt;CARTÕES!$F56,0,CARTÕES!$K56+8-1))</f>
        <v/>
      </c>
      <c r="K56" s="57">
        <f>IF(OR(CARTÕES!$K56=0,CARTÕES!$F56=""),0,IF(9&gt;CARTÕES!$F56,0,CARTÕES!$K56+9-1))</f>
        <v/>
      </c>
      <c r="L56" s="57">
        <f>IF(OR(CARTÕES!$K56=0,CARTÕES!$F56=""),0,IF(10&gt;CARTÕES!$F56,0,CARTÕES!$K56+10-1))</f>
        <v/>
      </c>
      <c r="M56" s="57">
        <f>IF(OR(CARTÕES!$K56=0,CARTÕES!$F56=""),0,IF(11&gt;CARTÕES!$F56,0,CARTÕES!$K56+11-1))</f>
        <v/>
      </c>
      <c r="N56" s="57">
        <f>IF(OR(CARTÕES!$K56=0,CARTÕES!$F56=""),0,IF(12&gt;CARTÕES!$F56,0,CARTÕES!$K56+12-1))</f>
        <v/>
      </c>
      <c r="O56" s="57">
        <f>IF(OR(CARTÕES!$K56=0,CARTÕES!$F56=""),0,IF(13&gt;CARTÕES!$F56,0,CARTÕES!$K56+13-1))</f>
        <v/>
      </c>
      <c r="P56" s="57">
        <f>IF(OR(CARTÕES!$K56=0,CARTÕES!$F56=""),0,IF(14&gt;CARTÕES!$F56,0,CARTÕES!$K56+14-1))</f>
        <v/>
      </c>
      <c r="Q56" s="57">
        <f>IF(OR(CARTÕES!$K56=0,CARTÕES!$F56=""),0,IF(15&gt;CARTÕES!$F56,0,CARTÕES!$K56+15-1))</f>
        <v/>
      </c>
      <c r="R56" s="57">
        <f>IF(OR(CARTÕES!$K56=0,CARTÕES!$F56=""),0,IF(16&gt;CARTÕES!$F56,0,CARTÕES!$K56+16-1))</f>
        <v/>
      </c>
      <c r="S56" s="57">
        <f>IF(OR(CARTÕES!$K56=0,CARTÕES!$F56=""),0,IF(17&gt;CARTÕES!$F56,0,CARTÕES!$K56+17-1))</f>
        <v/>
      </c>
      <c r="T56" s="57">
        <f>IF(OR(CARTÕES!$K56=0,CARTÕES!$F56=""),0,IF(18&gt;CARTÕES!$F56,0,CARTÕES!$K56+18-1))</f>
        <v/>
      </c>
      <c r="U56" s="57">
        <f>IF(OR(CARTÕES!$K56=0,CARTÕES!$F56=""),0,IF(19&gt;CARTÕES!$F56,0,CARTÕES!$K56+19-1))</f>
        <v/>
      </c>
      <c r="V56" s="57">
        <f>IF(OR(CARTÕES!$K56=0,CARTÕES!$F56=""),0,IF(20&gt;CARTÕES!$F56,0,CARTÕES!$K56+20-1))</f>
        <v/>
      </c>
      <c r="W56" s="57">
        <f>IF(OR(CARTÕES!$K56=0,CARTÕES!$F56=""),0,IF(21&gt;CARTÕES!$F56,0,CARTÕES!$K56+21-1))</f>
        <v/>
      </c>
      <c r="X56" s="57">
        <f>IF(OR(CARTÕES!$K56=0,CARTÕES!$F56=""),0,IF(22&gt;CARTÕES!$F56,0,CARTÕES!$K56+22-1))</f>
        <v/>
      </c>
      <c r="Y56" s="57">
        <f>IF(OR(CARTÕES!$K56=0,CARTÕES!$F56=""),0,IF(23&gt;CARTÕES!$F56,0,CARTÕES!$K56+23-1))</f>
        <v/>
      </c>
      <c r="Z56" s="57">
        <f>IF(OR(CARTÕES!$K56=0,CARTÕES!$F56=""),0,IF(24&gt;CARTÕES!$F56,0,CARTÕES!$K56+24-1))</f>
        <v/>
      </c>
      <c r="AA56" s="57">
        <f>IF(OR(CARTÕES!$K56=0,CARTÕES!$F56=""),0,IF(25&gt;CARTÕES!$F56,0,CARTÕES!$K56+25-1))</f>
        <v/>
      </c>
      <c r="AB56" s="57">
        <f>IF(OR(CARTÕES!$K56=0,CARTÕES!$F56=""),0,IF(26&gt;CARTÕES!$F56,0,CARTÕES!$K56+26-1))</f>
        <v/>
      </c>
      <c r="AC56" s="57">
        <f>IF(OR(CARTÕES!$K56=0,CARTÕES!$F56=""),0,IF(27&gt;CARTÕES!$F56,0,CARTÕES!$K56+27-1))</f>
        <v/>
      </c>
      <c r="AD56" s="57">
        <f>IF(OR(CARTÕES!$K56=0,CARTÕES!$F56=""),0,IF(28&gt;CARTÕES!$F56,0,CARTÕES!$K56+28-1))</f>
        <v/>
      </c>
      <c r="AE56" s="57">
        <f>IF(OR(CARTÕES!$K56=0,CARTÕES!$F56=""),0,IF(29&gt;CARTÕES!$F56,0,CARTÕES!$K56+29-1))</f>
        <v/>
      </c>
      <c r="AF56" s="57">
        <f>IF(OR(CARTÕES!$K56=0,CARTÕES!$F56=""),0,IF(30&gt;CARTÕES!$F56,0,CARTÕES!$K56+30-1))</f>
        <v/>
      </c>
      <c r="AG56" s="57">
        <f>IF(OR(CARTÕES!$K56=0,CARTÕES!$F56=""),0,IF(31&gt;CARTÕES!$F56,0,CARTÕES!$K56+31-1))</f>
        <v/>
      </c>
      <c r="AH56" s="57">
        <f>IF(OR(CARTÕES!$K56=0,CARTÕES!$F56=""),0,IF(32&gt;CARTÕES!$F56,0,CARTÕES!$K56+32-1))</f>
        <v/>
      </c>
      <c r="AI56" s="57">
        <f>IF(OR(CARTÕES!$K56=0,CARTÕES!$F56=""),0,IF(33&gt;CARTÕES!$F56,0,CARTÕES!$K56+33-1))</f>
        <v/>
      </c>
      <c r="AJ56" s="57">
        <f>IF(OR(CARTÕES!$K56=0,CARTÕES!$F56=""),0,IF(34&gt;CARTÕES!$F56,0,CARTÕES!$K56+34-1))</f>
        <v/>
      </c>
      <c r="AK56" s="57">
        <f>IF(OR(CARTÕES!$K56=0,CARTÕES!$F56=""),0,IF(35&gt;CARTÕES!$F56,0,CARTÕES!$K56+35-1))</f>
        <v/>
      </c>
      <c r="AL56" s="57">
        <f>IF(OR(CARTÕES!$K56=0,CARTÕES!$F56=""),0,IF(36&gt;CARTÕES!$F56,0,CARTÕES!$K56+36-1))</f>
        <v/>
      </c>
      <c r="AM56" s="57">
        <f>IF(C56=0,0,IF(1=CARTÕES!$F56,CARTÕES!$E56-(CARTÕES!$F56-1)*ROUND(CARTÕES!$E56/CARTÕES!$F56,0),ROUND(CARTÕES!$E56/CARTÕES!$F56,0)))</f>
        <v/>
      </c>
      <c r="AN56" s="57">
        <f>IF(D56=0,0,IF(2=CARTÕES!$F56,CARTÕES!$E56-(CARTÕES!$F56-1)*ROUND(CARTÕES!$E56/CARTÕES!$F56,0),ROUND(CARTÕES!$E56/CARTÕES!$F56,0)))</f>
        <v/>
      </c>
      <c r="AO56" s="57">
        <f>IF(E56=0,0,IF(3=CARTÕES!$F56,CARTÕES!$E56-(CARTÕES!$F56-1)*ROUND(CARTÕES!$E56/CARTÕES!$F56,0),ROUND(CARTÕES!$E56/CARTÕES!$F56,0)))</f>
        <v/>
      </c>
      <c r="AP56" s="57">
        <f>IF(F56=0,0,IF(4=CARTÕES!$F56,CARTÕES!$E56-(CARTÕES!$F56-1)*ROUND(CARTÕES!$E56/CARTÕES!$F56,0),ROUND(CARTÕES!$E56/CARTÕES!$F56,0)))</f>
        <v/>
      </c>
      <c r="AQ56" s="57">
        <f>IF(G56=0,0,IF(5=CARTÕES!$F56,CARTÕES!$E56-(CARTÕES!$F56-1)*ROUND(CARTÕES!$E56/CARTÕES!$F56,0),ROUND(CARTÕES!$E56/CARTÕES!$F56,0)))</f>
        <v/>
      </c>
      <c r="AR56" s="57">
        <f>IF(H56=0,0,IF(6=CARTÕES!$F56,CARTÕES!$E56-(CARTÕES!$F56-1)*ROUND(CARTÕES!$E56/CARTÕES!$F56,0),ROUND(CARTÕES!$E56/CARTÕES!$F56,0)))</f>
        <v/>
      </c>
      <c r="AS56" s="57">
        <f>IF(I56=0,0,IF(7=CARTÕES!$F56,CARTÕES!$E56-(CARTÕES!$F56-1)*ROUND(CARTÕES!$E56/CARTÕES!$F56,0),ROUND(CARTÕES!$E56/CARTÕES!$F56,0)))</f>
        <v/>
      </c>
      <c r="AT56" s="57">
        <f>IF(J56=0,0,IF(8=CARTÕES!$F56,CARTÕES!$E56-(CARTÕES!$F56-1)*ROUND(CARTÕES!$E56/CARTÕES!$F56,0),ROUND(CARTÕES!$E56/CARTÕES!$F56,0)))</f>
        <v/>
      </c>
      <c r="AU56" s="57">
        <f>IF(K56=0,0,IF(9=CARTÕES!$F56,CARTÕES!$E56-(CARTÕES!$F56-1)*ROUND(CARTÕES!$E56/CARTÕES!$F56,0),ROUND(CARTÕES!$E56/CARTÕES!$F56,0)))</f>
        <v/>
      </c>
      <c r="AV56" s="57">
        <f>IF(L56=0,0,IF(10=CARTÕES!$F56,CARTÕES!$E56-(CARTÕES!$F56-1)*ROUND(CARTÕES!$E56/CARTÕES!$F56,0),ROUND(CARTÕES!$E56/CARTÕES!$F56,0)))</f>
        <v/>
      </c>
      <c r="AW56" s="57">
        <f>IF(M56=0,0,IF(11=CARTÕES!$F56,CARTÕES!$E56-(CARTÕES!$F56-1)*ROUND(CARTÕES!$E56/CARTÕES!$F56,0),ROUND(CARTÕES!$E56/CARTÕES!$F56,0)))</f>
        <v/>
      </c>
      <c r="AX56" s="57">
        <f>IF(N56=0,0,IF(12=CARTÕES!$F56,CARTÕES!$E56-(CARTÕES!$F56-1)*ROUND(CARTÕES!$E56/CARTÕES!$F56,0),ROUND(CARTÕES!$E56/CARTÕES!$F56,0)))</f>
        <v/>
      </c>
      <c r="AY56" s="57">
        <f>IF(O56=0,0,IF(13=CARTÕES!$F56,CARTÕES!$E56-(CARTÕES!$F56-1)*ROUND(CARTÕES!$E56/CARTÕES!$F56,0),ROUND(CARTÕES!$E56/CARTÕES!$F56,0)))</f>
        <v/>
      </c>
      <c r="AZ56" s="57">
        <f>IF(P56=0,0,IF(14=CARTÕES!$F56,CARTÕES!$E56-(CARTÕES!$F56-1)*ROUND(CARTÕES!$E56/CARTÕES!$F56,0),ROUND(CARTÕES!$E56/CARTÕES!$F56,0)))</f>
        <v/>
      </c>
      <c r="BA56" s="57">
        <f>IF(Q56=0,0,IF(15=CARTÕES!$F56,CARTÕES!$E56-(CARTÕES!$F56-1)*ROUND(CARTÕES!$E56/CARTÕES!$F56,0),ROUND(CARTÕES!$E56/CARTÕES!$F56,0)))</f>
        <v/>
      </c>
      <c r="BB56" s="57">
        <f>IF(R56=0,0,IF(16=CARTÕES!$F56,CARTÕES!$E56-(CARTÕES!$F56-1)*ROUND(CARTÕES!$E56/CARTÕES!$F56,0),ROUND(CARTÕES!$E56/CARTÕES!$F56,0)))</f>
        <v/>
      </c>
      <c r="BC56" s="57">
        <f>IF(S56=0,0,IF(17=CARTÕES!$F56,CARTÕES!$E56-(CARTÕES!$F56-1)*ROUND(CARTÕES!$E56/CARTÕES!$F56,0),ROUND(CARTÕES!$E56/CARTÕES!$F56,0)))</f>
        <v/>
      </c>
      <c r="BD56" s="57">
        <f>IF(T56=0,0,IF(18=CARTÕES!$F56,CARTÕES!$E56-(CARTÕES!$F56-1)*ROUND(CARTÕES!$E56/CARTÕES!$F56,0),ROUND(CARTÕES!$E56/CARTÕES!$F56,0)))</f>
        <v/>
      </c>
      <c r="BE56" s="57">
        <f>IF(U56=0,0,IF(19=CARTÕES!$F56,CARTÕES!$E56-(CARTÕES!$F56-1)*ROUND(CARTÕES!$E56/CARTÕES!$F56,0),ROUND(CARTÕES!$E56/CARTÕES!$F56,0)))</f>
        <v/>
      </c>
      <c r="BF56" s="57">
        <f>IF(V56=0,0,IF(20=CARTÕES!$F56,CARTÕES!$E56-(CARTÕES!$F56-1)*ROUND(CARTÕES!$E56/CARTÕES!$F56,0),ROUND(CARTÕES!$E56/CARTÕES!$F56,0)))</f>
        <v/>
      </c>
      <c r="BG56" s="57">
        <f>IF(W56=0,0,IF(21=CARTÕES!$F56,CARTÕES!$E56-(CARTÕES!$F56-1)*ROUND(CARTÕES!$E56/CARTÕES!$F56,0),ROUND(CARTÕES!$E56/CARTÕES!$F56,0)))</f>
        <v/>
      </c>
      <c r="BH56" s="57">
        <f>IF(X56=0,0,IF(22=CARTÕES!$F56,CARTÕES!$E56-(CARTÕES!$F56-1)*ROUND(CARTÕES!$E56/CARTÕES!$F56,0),ROUND(CARTÕES!$E56/CARTÕES!$F56,0)))</f>
        <v/>
      </c>
      <c r="BI56" s="57">
        <f>IF(Y56=0,0,IF(23=CARTÕES!$F56,CARTÕES!$E56-(CARTÕES!$F56-1)*ROUND(CARTÕES!$E56/CARTÕES!$F56,0),ROUND(CARTÕES!$E56/CARTÕES!$F56,0)))</f>
        <v/>
      </c>
      <c r="BJ56" s="57">
        <f>IF(Z56=0,0,IF(24=CARTÕES!$F56,CARTÕES!$E56-(CARTÕES!$F56-1)*ROUND(CARTÕES!$E56/CARTÕES!$F56,0),ROUND(CARTÕES!$E56/CARTÕES!$F56,0)))</f>
        <v/>
      </c>
      <c r="BK56" s="57">
        <f>IF(AA56=0,0,IF(25=CARTÕES!$F56,CARTÕES!$E56-(CARTÕES!$F56-1)*ROUND(CARTÕES!$E56/CARTÕES!$F56,0),ROUND(CARTÕES!$E56/CARTÕES!$F56,0)))</f>
        <v/>
      </c>
      <c r="BL56" s="57">
        <f>IF(AB56=0,0,IF(26=CARTÕES!$F56,CARTÕES!$E56-(CARTÕES!$F56-1)*ROUND(CARTÕES!$E56/CARTÕES!$F56,0),ROUND(CARTÕES!$E56/CARTÕES!$F56,0)))</f>
        <v/>
      </c>
      <c r="BM56" s="57">
        <f>IF(AC56=0,0,IF(27=CARTÕES!$F56,CARTÕES!$E56-(CARTÕES!$F56-1)*ROUND(CARTÕES!$E56/CARTÕES!$F56,0),ROUND(CARTÕES!$E56/CARTÕES!$F56,0)))</f>
        <v/>
      </c>
      <c r="BN56" s="57">
        <f>IF(AD56=0,0,IF(28=CARTÕES!$F56,CARTÕES!$E56-(CARTÕES!$F56-1)*ROUND(CARTÕES!$E56/CARTÕES!$F56,0),ROUND(CARTÕES!$E56/CARTÕES!$F56,0)))</f>
        <v/>
      </c>
      <c r="BO56" s="57">
        <f>IF(AE56=0,0,IF(29=CARTÕES!$F56,CARTÕES!$E56-(CARTÕES!$F56-1)*ROUND(CARTÕES!$E56/CARTÕES!$F56,0),ROUND(CARTÕES!$E56/CARTÕES!$F56,0)))</f>
        <v/>
      </c>
      <c r="BP56" s="57">
        <f>IF(AF56=0,0,IF(30=CARTÕES!$F56,CARTÕES!$E56-(CARTÕES!$F56-1)*ROUND(CARTÕES!$E56/CARTÕES!$F56,0),ROUND(CARTÕES!$E56/CARTÕES!$F56,0)))</f>
        <v/>
      </c>
      <c r="BQ56" s="57">
        <f>IF(AG56=0,0,IF(31=CARTÕES!$F56,CARTÕES!$E56-(CARTÕES!$F56-1)*ROUND(CARTÕES!$E56/CARTÕES!$F56,0),ROUND(CARTÕES!$E56/CARTÕES!$F56,0)))</f>
        <v/>
      </c>
      <c r="BR56" s="57">
        <f>IF(AH56=0,0,IF(32=CARTÕES!$F56,CARTÕES!$E56-(CARTÕES!$F56-1)*ROUND(CARTÕES!$E56/CARTÕES!$F56,0),ROUND(CARTÕES!$E56/CARTÕES!$F56,0)))</f>
        <v/>
      </c>
      <c r="BS56" s="57">
        <f>IF(AI56=0,0,IF(33=CARTÕES!$F56,CARTÕES!$E56-(CARTÕES!$F56-1)*ROUND(CARTÕES!$E56/CARTÕES!$F56,0),ROUND(CARTÕES!$E56/CARTÕES!$F56,0)))</f>
        <v/>
      </c>
      <c r="BT56" s="57">
        <f>IF(AJ56=0,0,IF(34=CARTÕES!$F56,CARTÕES!$E56-(CARTÕES!$F56-1)*ROUND(CARTÕES!$E56/CARTÕES!$F56,0),ROUND(CARTÕES!$E56/CARTÕES!$F56,0)))</f>
        <v/>
      </c>
      <c r="BU56" s="57">
        <f>IF(AK56=0,0,IF(35=CARTÕES!$F56,CARTÕES!$E56-(CARTÕES!$F56-1)*ROUND(CARTÕES!$E56/CARTÕES!$F56,0),ROUND(CARTÕES!$E56/CARTÕES!$F56,0)))</f>
        <v/>
      </c>
      <c r="BV56" s="57">
        <f>IF(AL56=0,0,IF(36=CARTÕES!$F56,CARTÕES!$E56-(CARTÕES!$F56-1)*ROUND(CARTÕES!$E56/CARTÕES!$F56,0),ROUND(CARTÕES!$E56/CARTÕES!$F56,0)))</f>
        <v/>
      </c>
    </row>
    <row r="57">
      <c r="A57" s="55">
        <f>IF(CARTÕES!$C57="","",CARTÕES!$C57)</f>
        <v/>
      </c>
      <c r="B57" s="56">
        <f>SUMPRODUCT((C57:AL57='RESUMO MENSAL'!$C$4)*AM57:BV57)</f>
        <v/>
      </c>
      <c r="C57" s="57">
        <f>IF(OR(CARTÕES!$K57=0,CARTÕES!$F57=""),0,IF(1&gt;CARTÕES!$F57,0,CARTÕES!$K57+1-1))</f>
        <v/>
      </c>
      <c r="D57" s="57">
        <f>IF(OR(CARTÕES!$K57=0,CARTÕES!$F57=""),0,IF(2&gt;CARTÕES!$F57,0,CARTÕES!$K57+2-1))</f>
        <v/>
      </c>
      <c r="E57" s="57">
        <f>IF(OR(CARTÕES!$K57=0,CARTÕES!$F57=""),0,IF(3&gt;CARTÕES!$F57,0,CARTÕES!$K57+3-1))</f>
        <v/>
      </c>
      <c r="F57" s="57">
        <f>IF(OR(CARTÕES!$K57=0,CARTÕES!$F57=""),0,IF(4&gt;CARTÕES!$F57,0,CARTÕES!$K57+4-1))</f>
        <v/>
      </c>
      <c r="G57" s="57">
        <f>IF(OR(CARTÕES!$K57=0,CARTÕES!$F57=""),0,IF(5&gt;CARTÕES!$F57,0,CARTÕES!$K57+5-1))</f>
        <v/>
      </c>
      <c r="H57" s="57">
        <f>IF(OR(CARTÕES!$K57=0,CARTÕES!$F57=""),0,IF(6&gt;CARTÕES!$F57,0,CARTÕES!$K57+6-1))</f>
        <v/>
      </c>
      <c r="I57" s="57">
        <f>IF(OR(CARTÕES!$K57=0,CARTÕES!$F57=""),0,IF(7&gt;CARTÕES!$F57,0,CARTÕES!$K57+7-1))</f>
        <v/>
      </c>
      <c r="J57" s="57">
        <f>IF(OR(CARTÕES!$K57=0,CARTÕES!$F57=""),0,IF(8&gt;CARTÕES!$F57,0,CARTÕES!$K57+8-1))</f>
        <v/>
      </c>
      <c r="K57" s="57">
        <f>IF(OR(CARTÕES!$K57=0,CARTÕES!$F57=""),0,IF(9&gt;CARTÕES!$F57,0,CARTÕES!$K57+9-1))</f>
        <v/>
      </c>
      <c r="L57" s="57">
        <f>IF(OR(CARTÕES!$K57=0,CARTÕES!$F57=""),0,IF(10&gt;CARTÕES!$F57,0,CARTÕES!$K57+10-1))</f>
        <v/>
      </c>
      <c r="M57" s="57">
        <f>IF(OR(CARTÕES!$K57=0,CARTÕES!$F57=""),0,IF(11&gt;CARTÕES!$F57,0,CARTÕES!$K57+11-1))</f>
        <v/>
      </c>
      <c r="N57" s="57">
        <f>IF(OR(CARTÕES!$K57=0,CARTÕES!$F57=""),0,IF(12&gt;CARTÕES!$F57,0,CARTÕES!$K57+12-1))</f>
        <v/>
      </c>
      <c r="O57" s="57">
        <f>IF(OR(CARTÕES!$K57=0,CARTÕES!$F57=""),0,IF(13&gt;CARTÕES!$F57,0,CARTÕES!$K57+13-1))</f>
        <v/>
      </c>
      <c r="P57" s="57">
        <f>IF(OR(CARTÕES!$K57=0,CARTÕES!$F57=""),0,IF(14&gt;CARTÕES!$F57,0,CARTÕES!$K57+14-1))</f>
        <v/>
      </c>
      <c r="Q57" s="57">
        <f>IF(OR(CARTÕES!$K57=0,CARTÕES!$F57=""),0,IF(15&gt;CARTÕES!$F57,0,CARTÕES!$K57+15-1))</f>
        <v/>
      </c>
      <c r="R57" s="57">
        <f>IF(OR(CARTÕES!$K57=0,CARTÕES!$F57=""),0,IF(16&gt;CARTÕES!$F57,0,CARTÕES!$K57+16-1))</f>
        <v/>
      </c>
      <c r="S57" s="57">
        <f>IF(OR(CARTÕES!$K57=0,CARTÕES!$F57=""),0,IF(17&gt;CARTÕES!$F57,0,CARTÕES!$K57+17-1))</f>
        <v/>
      </c>
      <c r="T57" s="57">
        <f>IF(OR(CARTÕES!$K57=0,CARTÕES!$F57=""),0,IF(18&gt;CARTÕES!$F57,0,CARTÕES!$K57+18-1))</f>
        <v/>
      </c>
      <c r="U57" s="57">
        <f>IF(OR(CARTÕES!$K57=0,CARTÕES!$F57=""),0,IF(19&gt;CARTÕES!$F57,0,CARTÕES!$K57+19-1))</f>
        <v/>
      </c>
      <c r="V57" s="57">
        <f>IF(OR(CARTÕES!$K57=0,CARTÕES!$F57=""),0,IF(20&gt;CARTÕES!$F57,0,CARTÕES!$K57+20-1))</f>
        <v/>
      </c>
      <c r="W57" s="57">
        <f>IF(OR(CARTÕES!$K57=0,CARTÕES!$F57=""),0,IF(21&gt;CARTÕES!$F57,0,CARTÕES!$K57+21-1))</f>
        <v/>
      </c>
      <c r="X57" s="57">
        <f>IF(OR(CARTÕES!$K57=0,CARTÕES!$F57=""),0,IF(22&gt;CARTÕES!$F57,0,CARTÕES!$K57+22-1))</f>
        <v/>
      </c>
      <c r="Y57" s="57">
        <f>IF(OR(CARTÕES!$K57=0,CARTÕES!$F57=""),0,IF(23&gt;CARTÕES!$F57,0,CARTÕES!$K57+23-1))</f>
        <v/>
      </c>
      <c r="Z57" s="57">
        <f>IF(OR(CARTÕES!$K57=0,CARTÕES!$F57=""),0,IF(24&gt;CARTÕES!$F57,0,CARTÕES!$K57+24-1))</f>
        <v/>
      </c>
      <c r="AA57" s="57">
        <f>IF(OR(CARTÕES!$K57=0,CARTÕES!$F57=""),0,IF(25&gt;CARTÕES!$F57,0,CARTÕES!$K57+25-1))</f>
        <v/>
      </c>
      <c r="AB57" s="57">
        <f>IF(OR(CARTÕES!$K57=0,CARTÕES!$F57=""),0,IF(26&gt;CARTÕES!$F57,0,CARTÕES!$K57+26-1))</f>
        <v/>
      </c>
      <c r="AC57" s="57">
        <f>IF(OR(CARTÕES!$K57=0,CARTÕES!$F57=""),0,IF(27&gt;CARTÕES!$F57,0,CARTÕES!$K57+27-1))</f>
        <v/>
      </c>
      <c r="AD57" s="57">
        <f>IF(OR(CARTÕES!$K57=0,CARTÕES!$F57=""),0,IF(28&gt;CARTÕES!$F57,0,CARTÕES!$K57+28-1))</f>
        <v/>
      </c>
      <c r="AE57" s="57">
        <f>IF(OR(CARTÕES!$K57=0,CARTÕES!$F57=""),0,IF(29&gt;CARTÕES!$F57,0,CARTÕES!$K57+29-1))</f>
        <v/>
      </c>
      <c r="AF57" s="57">
        <f>IF(OR(CARTÕES!$K57=0,CARTÕES!$F57=""),0,IF(30&gt;CARTÕES!$F57,0,CARTÕES!$K57+30-1))</f>
        <v/>
      </c>
      <c r="AG57" s="57">
        <f>IF(OR(CARTÕES!$K57=0,CARTÕES!$F57=""),0,IF(31&gt;CARTÕES!$F57,0,CARTÕES!$K57+31-1))</f>
        <v/>
      </c>
      <c r="AH57" s="57">
        <f>IF(OR(CARTÕES!$K57=0,CARTÕES!$F57=""),0,IF(32&gt;CARTÕES!$F57,0,CARTÕES!$K57+32-1))</f>
        <v/>
      </c>
      <c r="AI57" s="57">
        <f>IF(OR(CARTÕES!$K57=0,CARTÕES!$F57=""),0,IF(33&gt;CARTÕES!$F57,0,CARTÕES!$K57+33-1))</f>
        <v/>
      </c>
      <c r="AJ57" s="57">
        <f>IF(OR(CARTÕES!$K57=0,CARTÕES!$F57=""),0,IF(34&gt;CARTÕES!$F57,0,CARTÕES!$K57+34-1))</f>
        <v/>
      </c>
      <c r="AK57" s="57">
        <f>IF(OR(CARTÕES!$K57=0,CARTÕES!$F57=""),0,IF(35&gt;CARTÕES!$F57,0,CARTÕES!$K57+35-1))</f>
        <v/>
      </c>
      <c r="AL57" s="57">
        <f>IF(OR(CARTÕES!$K57=0,CARTÕES!$F57=""),0,IF(36&gt;CARTÕES!$F57,0,CARTÕES!$K57+36-1))</f>
        <v/>
      </c>
      <c r="AM57" s="57">
        <f>IF(C57=0,0,IF(1=CARTÕES!$F57,CARTÕES!$E57-(CARTÕES!$F57-1)*ROUND(CARTÕES!$E57/CARTÕES!$F57,0),ROUND(CARTÕES!$E57/CARTÕES!$F57,0)))</f>
        <v/>
      </c>
      <c r="AN57" s="57">
        <f>IF(D57=0,0,IF(2=CARTÕES!$F57,CARTÕES!$E57-(CARTÕES!$F57-1)*ROUND(CARTÕES!$E57/CARTÕES!$F57,0),ROUND(CARTÕES!$E57/CARTÕES!$F57,0)))</f>
        <v/>
      </c>
      <c r="AO57" s="57">
        <f>IF(E57=0,0,IF(3=CARTÕES!$F57,CARTÕES!$E57-(CARTÕES!$F57-1)*ROUND(CARTÕES!$E57/CARTÕES!$F57,0),ROUND(CARTÕES!$E57/CARTÕES!$F57,0)))</f>
        <v/>
      </c>
      <c r="AP57" s="57">
        <f>IF(F57=0,0,IF(4=CARTÕES!$F57,CARTÕES!$E57-(CARTÕES!$F57-1)*ROUND(CARTÕES!$E57/CARTÕES!$F57,0),ROUND(CARTÕES!$E57/CARTÕES!$F57,0)))</f>
        <v/>
      </c>
      <c r="AQ57" s="57">
        <f>IF(G57=0,0,IF(5=CARTÕES!$F57,CARTÕES!$E57-(CARTÕES!$F57-1)*ROUND(CARTÕES!$E57/CARTÕES!$F57,0),ROUND(CARTÕES!$E57/CARTÕES!$F57,0)))</f>
        <v/>
      </c>
      <c r="AR57" s="57">
        <f>IF(H57=0,0,IF(6=CARTÕES!$F57,CARTÕES!$E57-(CARTÕES!$F57-1)*ROUND(CARTÕES!$E57/CARTÕES!$F57,0),ROUND(CARTÕES!$E57/CARTÕES!$F57,0)))</f>
        <v/>
      </c>
      <c r="AS57" s="57">
        <f>IF(I57=0,0,IF(7=CARTÕES!$F57,CARTÕES!$E57-(CARTÕES!$F57-1)*ROUND(CARTÕES!$E57/CARTÕES!$F57,0),ROUND(CARTÕES!$E57/CARTÕES!$F57,0)))</f>
        <v/>
      </c>
      <c r="AT57" s="57">
        <f>IF(J57=0,0,IF(8=CARTÕES!$F57,CARTÕES!$E57-(CARTÕES!$F57-1)*ROUND(CARTÕES!$E57/CARTÕES!$F57,0),ROUND(CARTÕES!$E57/CARTÕES!$F57,0)))</f>
        <v/>
      </c>
      <c r="AU57" s="57">
        <f>IF(K57=0,0,IF(9=CARTÕES!$F57,CARTÕES!$E57-(CARTÕES!$F57-1)*ROUND(CARTÕES!$E57/CARTÕES!$F57,0),ROUND(CARTÕES!$E57/CARTÕES!$F57,0)))</f>
        <v/>
      </c>
      <c r="AV57" s="57">
        <f>IF(L57=0,0,IF(10=CARTÕES!$F57,CARTÕES!$E57-(CARTÕES!$F57-1)*ROUND(CARTÕES!$E57/CARTÕES!$F57,0),ROUND(CARTÕES!$E57/CARTÕES!$F57,0)))</f>
        <v/>
      </c>
      <c r="AW57" s="57">
        <f>IF(M57=0,0,IF(11=CARTÕES!$F57,CARTÕES!$E57-(CARTÕES!$F57-1)*ROUND(CARTÕES!$E57/CARTÕES!$F57,0),ROUND(CARTÕES!$E57/CARTÕES!$F57,0)))</f>
        <v/>
      </c>
      <c r="AX57" s="57">
        <f>IF(N57=0,0,IF(12=CARTÕES!$F57,CARTÕES!$E57-(CARTÕES!$F57-1)*ROUND(CARTÕES!$E57/CARTÕES!$F57,0),ROUND(CARTÕES!$E57/CARTÕES!$F57,0)))</f>
        <v/>
      </c>
      <c r="AY57" s="57">
        <f>IF(O57=0,0,IF(13=CARTÕES!$F57,CARTÕES!$E57-(CARTÕES!$F57-1)*ROUND(CARTÕES!$E57/CARTÕES!$F57,0),ROUND(CARTÕES!$E57/CARTÕES!$F57,0)))</f>
        <v/>
      </c>
      <c r="AZ57" s="57">
        <f>IF(P57=0,0,IF(14=CARTÕES!$F57,CARTÕES!$E57-(CARTÕES!$F57-1)*ROUND(CARTÕES!$E57/CARTÕES!$F57,0),ROUND(CARTÕES!$E57/CARTÕES!$F57,0)))</f>
        <v/>
      </c>
      <c r="BA57" s="57">
        <f>IF(Q57=0,0,IF(15=CARTÕES!$F57,CARTÕES!$E57-(CARTÕES!$F57-1)*ROUND(CARTÕES!$E57/CARTÕES!$F57,0),ROUND(CARTÕES!$E57/CARTÕES!$F57,0)))</f>
        <v/>
      </c>
      <c r="BB57" s="57">
        <f>IF(R57=0,0,IF(16=CARTÕES!$F57,CARTÕES!$E57-(CARTÕES!$F57-1)*ROUND(CARTÕES!$E57/CARTÕES!$F57,0),ROUND(CARTÕES!$E57/CARTÕES!$F57,0)))</f>
        <v/>
      </c>
      <c r="BC57" s="57">
        <f>IF(S57=0,0,IF(17=CARTÕES!$F57,CARTÕES!$E57-(CARTÕES!$F57-1)*ROUND(CARTÕES!$E57/CARTÕES!$F57,0),ROUND(CARTÕES!$E57/CARTÕES!$F57,0)))</f>
        <v/>
      </c>
      <c r="BD57" s="57">
        <f>IF(T57=0,0,IF(18=CARTÕES!$F57,CARTÕES!$E57-(CARTÕES!$F57-1)*ROUND(CARTÕES!$E57/CARTÕES!$F57,0),ROUND(CARTÕES!$E57/CARTÕES!$F57,0)))</f>
        <v/>
      </c>
      <c r="BE57" s="57">
        <f>IF(U57=0,0,IF(19=CARTÕES!$F57,CARTÕES!$E57-(CARTÕES!$F57-1)*ROUND(CARTÕES!$E57/CARTÕES!$F57,0),ROUND(CARTÕES!$E57/CARTÕES!$F57,0)))</f>
        <v/>
      </c>
      <c r="BF57" s="57">
        <f>IF(V57=0,0,IF(20=CARTÕES!$F57,CARTÕES!$E57-(CARTÕES!$F57-1)*ROUND(CARTÕES!$E57/CARTÕES!$F57,0),ROUND(CARTÕES!$E57/CARTÕES!$F57,0)))</f>
        <v/>
      </c>
      <c r="BG57" s="57">
        <f>IF(W57=0,0,IF(21=CARTÕES!$F57,CARTÕES!$E57-(CARTÕES!$F57-1)*ROUND(CARTÕES!$E57/CARTÕES!$F57,0),ROUND(CARTÕES!$E57/CARTÕES!$F57,0)))</f>
        <v/>
      </c>
      <c r="BH57" s="57">
        <f>IF(X57=0,0,IF(22=CARTÕES!$F57,CARTÕES!$E57-(CARTÕES!$F57-1)*ROUND(CARTÕES!$E57/CARTÕES!$F57,0),ROUND(CARTÕES!$E57/CARTÕES!$F57,0)))</f>
        <v/>
      </c>
      <c r="BI57" s="57">
        <f>IF(Y57=0,0,IF(23=CARTÕES!$F57,CARTÕES!$E57-(CARTÕES!$F57-1)*ROUND(CARTÕES!$E57/CARTÕES!$F57,0),ROUND(CARTÕES!$E57/CARTÕES!$F57,0)))</f>
        <v/>
      </c>
      <c r="BJ57" s="57">
        <f>IF(Z57=0,0,IF(24=CARTÕES!$F57,CARTÕES!$E57-(CARTÕES!$F57-1)*ROUND(CARTÕES!$E57/CARTÕES!$F57,0),ROUND(CARTÕES!$E57/CARTÕES!$F57,0)))</f>
        <v/>
      </c>
      <c r="BK57" s="57">
        <f>IF(AA57=0,0,IF(25=CARTÕES!$F57,CARTÕES!$E57-(CARTÕES!$F57-1)*ROUND(CARTÕES!$E57/CARTÕES!$F57,0),ROUND(CARTÕES!$E57/CARTÕES!$F57,0)))</f>
        <v/>
      </c>
      <c r="BL57" s="57">
        <f>IF(AB57=0,0,IF(26=CARTÕES!$F57,CARTÕES!$E57-(CARTÕES!$F57-1)*ROUND(CARTÕES!$E57/CARTÕES!$F57,0),ROUND(CARTÕES!$E57/CARTÕES!$F57,0)))</f>
        <v/>
      </c>
      <c r="BM57" s="57">
        <f>IF(AC57=0,0,IF(27=CARTÕES!$F57,CARTÕES!$E57-(CARTÕES!$F57-1)*ROUND(CARTÕES!$E57/CARTÕES!$F57,0),ROUND(CARTÕES!$E57/CARTÕES!$F57,0)))</f>
        <v/>
      </c>
      <c r="BN57" s="57">
        <f>IF(AD57=0,0,IF(28=CARTÕES!$F57,CARTÕES!$E57-(CARTÕES!$F57-1)*ROUND(CARTÕES!$E57/CARTÕES!$F57,0),ROUND(CARTÕES!$E57/CARTÕES!$F57,0)))</f>
        <v/>
      </c>
      <c r="BO57" s="57">
        <f>IF(AE57=0,0,IF(29=CARTÕES!$F57,CARTÕES!$E57-(CARTÕES!$F57-1)*ROUND(CARTÕES!$E57/CARTÕES!$F57,0),ROUND(CARTÕES!$E57/CARTÕES!$F57,0)))</f>
        <v/>
      </c>
      <c r="BP57" s="57">
        <f>IF(AF57=0,0,IF(30=CARTÕES!$F57,CARTÕES!$E57-(CARTÕES!$F57-1)*ROUND(CARTÕES!$E57/CARTÕES!$F57,0),ROUND(CARTÕES!$E57/CARTÕES!$F57,0)))</f>
        <v/>
      </c>
      <c r="BQ57" s="57">
        <f>IF(AG57=0,0,IF(31=CARTÕES!$F57,CARTÕES!$E57-(CARTÕES!$F57-1)*ROUND(CARTÕES!$E57/CARTÕES!$F57,0),ROUND(CARTÕES!$E57/CARTÕES!$F57,0)))</f>
        <v/>
      </c>
      <c r="BR57" s="57">
        <f>IF(AH57=0,0,IF(32=CARTÕES!$F57,CARTÕES!$E57-(CARTÕES!$F57-1)*ROUND(CARTÕES!$E57/CARTÕES!$F57,0),ROUND(CARTÕES!$E57/CARTÕES!$F57,0)))</f>
        <v/>
      </c>
      <c r="BS57" s="57">
        <f>IF(AI57=0,0,IF(33=CARTÕES!$F57,CARTÕES!$E57-(CARTÕES!$F57-1)*ROUND(CARTÕES!$E57/CARTÕES!$F57,0),ROUND(CARTÕES!$E57/CARTÕES!$F57,0)))</f>
        <v/>
      </c>
      <c r="BT57" s="57">
        <f>IF(AJ57=0,0,IF(34=CARTÕES!$F57,CARTÕES!$E57-(CARTÕES!$F57-1)*ROUND(CARTÕES!$E57/CARTÕES!$F57,0),ROUND(CARTÕES!$E57/CARTÕES!$F57,0)))</f>
        <v/>
      </c>
      <c r="BU57" s="57">
        <f>IF(AK57=0,0,IF(35=CARTÕES!$F57,CARTÕES!$E57-(CARTÕES!$F57-1)*ROUND(CARTÕES!$E57/CARTÕES!$F57,0),ROUND(CARTÕES!$E57/CARTÕES!$F57,0)))</f>
        <v/>
      </c>
      <c r="BV57" s="57">
        <f>IF(AL57=0,0,IF(36=CARTÕES!$F57,CARTÕES!$E57-(CARTÕES!$F57-1)*ROUND(CARTÕES!$E57/CARTÕES!$F57,0),ROUND(CARTÕES!$E57/CARTÕES!$F57,0)))</f>
        <v/>
      </c>
    </row>
    <row r="58">
      <c r="A58" s="55">
        <f>IF(CARTÕES!$C58="","",CARTÕES!$C58)</f>
        <v/>
      </c>
      <c r="B58" s="56">
        <f>SUMPRODUCT((C58:AL58='RESUMO MENSAL'!$C$4)*AM58:BV58)</f>
        <v/>
      </c>
      <c r="C58" s="57">
        <f>IF(OR(CARTÕES!$K58=0,CARTÕES!$F58=""),0,IF(1&gt;CARTÕES!$F58,0,CARTÕES!$K58+1-1))</f>
        <v/>
      </c>
      <c r="D58" s="57">
        <f>IF(OR(CARTÕES!$K58=0,CARTÕES!$F58=""),0,IF(2&gt;CARTÕES!$F58,0,CARTÕES!$K58+2-1))</f>
        <v/>
      </c>
      <c r="E58" s="57">
        <f>IF(OR(CARTÕES!$K58=0,CARTÕES!$F58=""),0,IF(3&gt;CARTÕES!$F58,0,CARTÕES!$K58+3-1))</f>
        <v/>
      </c>
      <c r="F58" s="57">
        <f>IF(OR(CARTÕES!$K58=0,CARTÕES!$F58=""),0,IF(4&gt;CARTÕES!$F58,0,CARTÕES!$K58+4-1))</f>
        <v/>
      </c>
      <c r="G58" s="57">
        <f>IF(OR(CARTÕES!$K58=0,CARTÕES!$F58=""),0,IF(5&gt;CARTÕES!$F58,0,CARTÕES!$K58+5-1))</f>
        <v/>
      </c>
      <c r="H58" s="57">
        <f>IF(OR(CARTÕES!$K58=0,CARTÕES!$F58=""),0,IF(6&gt;CARTÕES!$F58,0,CARTÕES!$K58+6-1))</f>
        <v/>
      </c>
      <c r="I58" s="57">
        <f>IF(OR(CARTÕES!$K58=0,CARTÕES!$F58=""),0,IF(7&gt;CARTÕES!$F58,0,CARTÕES!$K58+7-1))</f>
        <v/>
      </c>
      <c r="J58" s="57">
        <f>IF(OR(CARTÕES!$K58=0,CARTÕES!$F58=""),0,IF(8&gt;CARTÕES!$F58,0,CARTÕES!$K58+8-1))</f>
        <v/>
      </c>
      <c r="K58" s="57">
        <f>IF(OR(CARTÕES!$K58=0,CARTÕES!$F58=""),0,IF(9&gt;CARTÕES!$F58,0,CARTÕES!$K58+9-1))</f>
        <v/>
      </c>
      <c r="L58" s="57">
        <f>IF(OR(CARTÕES!$K58=0,CARTÕES!$F58=""),0,IF(10&gt;CARTÕES!$F58,0,CARTÕES!$K58+10-1))</f>
        <v/>
      </c>
      <c r="M58" s="57">
        <f>IF(OR(CARTÕES!$K58=0,CARTÕES!$F58=""),0,IF(11&gt;CARTÕES!$F58,0,CARTÕES!$K58+11-1))</f>
        <v/>
      </c>
      <c r="N58" s="57">
        <f>IF(OR(CARTÕES!$K58=0,CARTÕES!$F58=""),0,IF(12&gt;CARTÕES!$F58,0,CARTÕES!$K58+12-1))</f>
        <v/>
      </c>
      <c r="O58" s="57">
        <f>IF(OR(CARTÕES!$K58=0,CARTÕES!$F58=""),0,IF(13&gt;CARTÕES!$F58,0,CARTÕES!$K58+13-1))</f>
        <v/>
      </c>
      <c r="P58" s="57">
        <f>IF(OR(CARTÕES!$K58=0,CARTÕES!$F58=""),0,IF(14&gt;CARTÕES!$F58,0,CARTÕES!$K58+14-1))</f>
        <v/>
      </c>
      <c r="Q58" s="57">
        <f>IF(OR(CARTÕES!$K58=0,CARTÕES!$F58=""),0,IF(15&gt;CARTÕES!$F58,0,CARTÕES!$K58+15-1))</f>
        <v/>
      </c>
      <c r="R58" s="57">
        <f>IF(OR(CARTÕES!$K58=0,CARTÕES!$F58=""),0,IF(16&gt;CARTÕES!$F58,0,CARTÕES!$K58+16-1))</f>
        <v/>
      </c>
      <c r="S58" s="57">
        <f>IF(OR(CARTÕES!$K58=0,CARTÕES!$F58=""),0,IF(17&gt;CARTÕES!$F58,0,CARTÕES!$K58+17-1))</f>
        <v/>
      </c>
      <c r="T58" s="57">
        <f>IF(OR(CARTÕES!$K58=0,CARTÕES!$F58=""),0,IF(18&gt;CARTÕES!$F58,0,CARTÕES!$K58+18-1))</f>
        <v/>
      </c>
      <c r="U58" s="57">
        <f>IF(OR(CARTÕES!$K58=0,CARTÕES!$F58=""),0,IF(19&gt;CARTÕES!$F58,0,CARTÕES!$K58+19-1))</f>
        <v/>
      </c>
      <c r="V58" s="57">
        <f>IF(OR(CARTÕES!$K58=0,CARTÕES!$F58=""),0,IF(20&gt;CARTÕES!$F58,0,CARTÕES!$K58+20-1))</f>
        <v/>
      </c>
      <c r="W58" s="57">
        <f>IF(OR(CARTÕES!$K58=0,CARTÕES!$F58=""),0,IF(21&gt;CARTÕES!$F58,0,CARTÕES!$K58+21-1))</f>
        <v/>
      </c>
      <c r="X58" s="57">
        <f>IF(OR(CARTÕES!$K58=0,CARTÕES!$F58=""),0,IF(22&gt;CARTÕES!$F58,0,CARTÕES!$K58+22-1))</f>
        <v/>
      </c>
      <c r="Y58" s="57">
        <f>IF(OR(CARTÕES!$K58=0,CARTÕES!$F58=""),0,IF(23&gt;CARTÕES!$F58,0,CARTÕES!$K58+23-1))</f>
        <v/>
      </c>
      <c r="Z58" s="57">
        <f>IF(OR(CARTÕES!$K58=0,CARTÕES!$F58=""),0,IF(24&gt;CARTÕES!$F58,0,CARTÕES!$K58+24-1))</f>
        <v/>
      </c>
      <c r="AA58" s="57">
        <f>IF(OR(CARTÕES!$K58=0,CARTÕES!$F58=""),0,IF(25&gt;CARTÕES!$F58,0,CARTÕES!$K58+25-1))</f>
        <v/>
      </c>
      <c r="AB58" s="57">
        <f>IF(OR(CARTÕES!$K58=0,CARTÕES!$F58=""),0,IF(26&gt;CARTÕES!$F58,0,CARTÕES!$K58+26-1))</f>
        <v/>
      </c>
      <c r="AC58" s="57">
        <f>IF(OR(CARTÕES!$K58=0,CARTÕES!$F58=""),0,IF(27&gt;CARTÕES!$F58,0,CARTÕES!$K58+27-1))</f>
        <v/>
      </c>
      <c r="AD58" s="57">
        <f>IF(OR(CARTÕES!$K58=0,CARTÕES!$F58=""),0,IF(28&gt;CARTÕES!$F58,0,CARTÕES!$K58+28-1))</f>
        <v/>
      </c>
      <c r="AE58" s="57">
        <f>IF(OR(CARTÕES!$K58=0,CARTÕES!$F58=""),0,IF(29&gt;CARTÕES!$F58,0,CARTÕES!$K58+29-1))</f>
        <v/>
      </c>
      <c r="AF58" s="57">
        <f>IF(OR(CARTÕES!$K58=0,CARTÕES!$F58=""),0,IF(30&gt;CARTÕES!$F58,0,CARTÕES!$K58+30-1))</f>
        <v/>
      </c>
      <c r="AG58" s="57">
        <f>IF(OR(CARTÕES!$K58=0,CARTÕES!$F58=""),0,IF(31&gt;CARTÕES!$F58,0,CARTÕES!$K58+31-1))</f>
        <v/>
      </c>
      <c r="AH58" s="57">
        <f>IF(OR(CARTÕES!$K58=0,CARTÕES!$F58=""),0,IF(32&gt;CARTÕES!$F58,0,CARTÕES!$K58+32-1))</f>
        <v/>
      </c>
      <c r="AI58" s="57">
        <f>IF(OR(CARTÕES!$K58=0,CARTÕES!$F58=""),0,IF(33&gt;CARTÕES!$F58,0,CARTÕES!$K58+33-1))</f>
        <v/>
      </c>
      <c r="AJ58" s="57">
        <f>IF(OR(CARTÕES!$K58=0,CARTÕES!$F58=""),0,IF(34&gt;CARTÕES!$F58,0,CARTÕES!$K58+34-1))</f>
        <v/>
      </c>
      <c r="AK58" s="57">
        <f>IF(OR(CARTÕES!$K58=0,CARTÕES!$F58=""),0,IF(35&gt;CARTÕES!$F58,0,CARTÕES!$K58+35-1))</f>
        <v/>
      </c>
      <c r="AL58" s="57">
        <f>IF(OR(CARTÕES!$K58=0,CARTÕES!$F58=""),0,IF(36&gt;CARTÕES!$F58,0,CARTÕES!$K58+36-1))</f>
        <v/>
      </c>
      <c r="AM58" s="57">
        <f>IF(C58=0,0,IF(1=CARTÕES!$F58,CARTÕES!$E58-(CARTÕES!$F58-1)*ROUND(CARTÕES!$E58/CARTÕES!$F58,0),ROUND(CARTÕES!$E58/CARTÕES!$F58,0)))</f>
        <v/>
      </c>
      <c r="AN58" s="57">
        <f>IF(D58=0,0,IF(2=CARTÕES!$F58,CARTÕES!$E58-(CARTÕES!$F58-1)*ROUND(CARTÕES!$E58/CARTÕES!$F58,0),ROUND(CARTÕES!$E58/CARTÕES!$F58,0)))</f>
        <v/>
      </c>
      <c r="AO58" s="57">
        <f>IF(E58=0,0,IF(3=CARTÕES!$F58,CARTÕES!$E58-(CARTÕES!$F58-1)*ROUND(CARTÕES!$E58/CARTÕES!$F58,0),ROUND(CARTÕES!$E58/CARTÕES!$F58,0)))</f>
        <v/>
      </c>
      <c r="AP58" s="57">
        <f>IF(F58=0,0,IF(4=CARTÕES!$F58,CARTÕES!$E58-(CARTÕES!$F58-1)*ROUND(CARTÕES!$E58/CARTÕES!$F58,0),ROUND(CARTÕES!$E58/CARTÕES!$F58,0)))</f>
        <v/>
      </c>
      <c r="AQ58" s="57">
        <f>IF(G58=0,0,IF(5=CARTÕES!$F58,CARTÕES!$E58-(CARTÕES!$F58-1)*ROUND(CARTÕES!$E58/CARTÕES!$F58,0),ROUND(CARTÕES!$E58/CARTÕES!$F58,0)))</f>
        <v/>
      </c>
      <c r="AR58" s="57">
        <f>IF(H58=0,0,IF(6=CARTÕES!$F58,CARTÕES!$E58-(CARTÕES!$F58-1)*ROUND(CARTÕES!$E58/CARTÕES!$F58,0),ROUND(CARTÕES!$E58/CARTÕES!$F58,0)))</f>
        <v/>
      </c>
      <c r="AS58" s="57">
        <f>IF(I58=0,0,IF(7=CARTÕES!$F58,CARTÕES!$E58-(CARTÕES!$F58-1)*ROUND(CARTÕES!$E58/CARTÕES!$F58,0),ROUND(CARTÕES!$E58/CARTÕES!$F58,0)))</f>
        <v/>
      </c>
      <c r="AT58" s="57">
        <f>IF(J58=0,0,IF(8=CARTÕES!$F58,CARTÕES!$E58-(CARTÕES!$F58-1)*ROUND(CARTÕES!$E58/CARTÕES!$F58,0),ROUND(CARTÕES!$E58/CARTÕES!$F58,0)))</f>
        <v/>
      </c>
      <c r="AU58" s="57">
        <f>IF(K58=0,0,IF(9=CARTÕES!$F58,CARTÕES!$E58-(CARTÕES!$F58-1)*ROUND(CARTÕES!$E58/CARTÕES!$F58,0),ROUND(CARTÕES!$E58/CARTÕES!$F58,0)))</f>
        <v/>
      </c>
      <c r="AV58" s="57">
        <f>IF(L58=0,0,IF(10=CARTÕES!$F58,CARTÕES!$E58-(CARTÕES!$F58-1)*ROUND(CARTÕES!$E58/CARTÕES!$F58,0),ROUND(CARTÕES!$E58/CARTÕES!$F58,0)))</f>
        <v/>
      </c>
      <c r="AW58" s="57">
        <f>IF(M58=0,0,IF(11=CARTÕES!$F58,CARTÕES!$E58-(CARTÕES!$F58-1)*ROUND(CARTÕES!$E58/CARTÕES!$F58,0),ROUND(CARTÕES!$E58/CARTÕES!$F58,0)))</f>
        <v/>
      </c>
      <c r="AX58" s="57">
        <f>IF(N58=0,0,IF(12=CARTÕES!$F58,CARTÕES!$E58-(CARTÕES!$F58-1)*ROUND(CARTÕES!$E58/CARTÕES!$F58,0),ROUND(CARTÕES!$E58/CARTÕES!$F58,0)))</f>
        <v/>
      </c>
      <c r="AY58" s="57">
        <f>IF(O58=0,0,IF(13=CARTÕES!$F58,CARTÕES!$E58-(CARTÕES!$F58-1)*ROUND(CARTÕES!$E58/CARTÕES!$F58,0),ROUND(CARTÕES!$E58/CARTÕES!$F58,0)))</f>
        <v/>
      </c>
      <c r="AZ58" s="57">
        <f>IF(P58=0,0,IF(14=CARTÕES!$F58,CARTÕES!$E58-(CARTÕES!$F58-1)*ROUND(CARTÕES!$E58/CARTÕES!$F58,0),ROUND(CARTÕES!$E58/CARTÕES!$F58,0)))</f>
        <v/>
      </c>
      <c r="BA58" s="57">
        <f>IF(Q58=0,0,IF(15=CARTÕES!$F58,CARTÕES!$E58-(CARTÕES!$F58-1)*ROUND(CARTÕES!$E58/CARTÕES!$F58,0),ROUND(CARTÕES!$E58/CARTÕES!$F58,0)))</f>
        <v/>
      </c>
      <c r="BB58" s="57">
        <f>IF(R58=0,0,IF(16=CARTÕES!$F58,CARTÕES!$E58-(CARTÕES!$F58-1)*ROUND(CARTÕES!$E58/CARTÕES!$F58,0),ROUND(CARTÕES!$E58/CARTÕES!$F58,0)))</f>
        <v/>
      </c>
      <c r="BC58" s="57">
        <f>IF(S58=0,0,IF(17=CARTÕES!$F58,CARTÕES!$E58-(CARTÕES!$F58-1)*ROUND(CARTÕES!$E58/CARTÕES!$F58,0),ROUND(CARTÕES!$E58/CARTÕES!$F58,0)))</f>
        <v/>
      </c>
      <c r="BD58" s="57">
        <f>IF(T58=0,0,IF(18=CARTÕES!$F58,CARTÕES!$E58-(CARTÕES!$F58-1)*ROUND(CARTÕES!$E58/CARTÕES!$F58,0),ROUND(CARTÕES!$E58/CARTÕES!$F58,0)))</f>
        <v/>
      </c>
      <c r="BE58" s="57">
        <f>IF(U58=0,0,IF(19=CARTÕES!$F58,CARTÕES!$E58-(CARTÕES!$F58-1)*ROUND(CARTÕES!$E58/CARTÕES!$F58,0),ROUND(CARTÕES!$E58/CARTÕES!$F58,0)))</f>
        <v/>
      </c>
      <c r="BF58" s="57">
        <f>IF(V58=0,0,IF(20=CARTÕES!$F58,CARTÕES!$E58-(CARTÕES!$F58-1)*ROUND(CARTÕES!$E58/CARTÕES!$F58,0),ROUND(CARTÕES!$E58/CARTÕES!$F58,0)))</f>
        <v/>
      </c>
      <c r="BG58" s="57">
        <f>IF(W58=0,0,IF(21=CARTÕES!$F58,CARTÕES!$E58-(CARTÕES!$F58-1)*ROUND(CARTÕES!$E58/CARTÕES!$F58,0),ROUND(CARTÕES!$E58/CARTÕES!$F58,0)))</f>
        <v/>
      </c>
      <c r="BH58" s="57">
        <f>IF(X58=0,0,IF(22=CARTÕES!$F58,CARTÕES!$E58-(CARTÕES!$F58-1)*ROUND(CARTÕES!$E58/CARTÕES!$F58,0),ROUND(CARTÕES!$E58/CARTÕES!$F58,0)))</f>
        <v/>
      </c>
      <c r="BI58" s="57">
        <f>IF(Y58=0,0,IF(23=CARTÕES!$F58,CARTÕES!$E58-(CARTÕES!$F58-1)*ROUND(CARTÕES!$E58/CARTÕES!$F58,0),ROUND(CARTÕES!$E58/CARTÕES!$F58,0)))</f>
        <v/>
      </c>
      <c r="BJ58" s="57">
        <f>IF(Z58=0,0,IF(24=CARTÕES!$F58,CARTÕES!$E58-(CARTÕES!$F58-1)*ROUND(CARTÕES!$E58/CARTÕES!$F58,0),ROUND(CARTÕES!$E58/CARTÕES!$F58,0)))</f>
        <v/>
      </c>
      <c r="BK58" s="57">
        <f>IF(AA58=0,0,IF(25=CARTÕES!$F58,CARTÕES!$E58-(CARTÕES!$F58-1)*ROUND(CARTÕES!$E58/CARTÕES!$F58,0),ROUND(CARTÕES!$E58/CARTÕES!$F58,0)))</f>
        <v/>
      </c>
      <c r="BL58" s="57">
        <f>IF(AB58=0,0,IF(26=CARTÕES!$F58,CARTÕES!$E58-(CARTÕES!$F58-1)*ROUND(CARTÕES!$E58/CARTÕES!$F58,0),ROUND(CARTÕES!$E58/CARTÕES!$F58,0)))</f>
        <v/>
      </c>
      <c r="BM58" s="57">
        <f>IF(AC58=0,0,IF(27=CARTÕES!$F58,CARTÕES!$E58-(CARTÕES!$F58-1)*ROUND(CARTÕES!$E58/CARTÕES!$F58,0),ROUND(CARTÕES!$E58/CARTÕES!$F58,0)))</f>
        <v/>
      </c>
      <c r="BN58" s="57">
        <f>IF(AD58=0,0,IF(28=CARTÕES!$F58,CARTÕES!$E58-(CARTÕES!$F58-1)*ROUND(CARTÕES!$E58/CARTÕES!$F58,0),ROUND(CARTÕES!$E58/CARTÕES!$F58,0)))</f>
        <v/>
      </c>
      <c r="BO58" s="57">
        <f>IF(AE58=0,0,IF(29=CARTÕES!$F58,CARTÕES!$E58-(CARTÕES!$F58-1)*ROUND(CARTÕES!$E58/CARTÕES!$F58,0),ROUND(CARTÕES!$E58/CARTÕES!$F58,0)))</f>
        <v/>
      </c>
      <c r="BP58" s="57">
        <f>IF(AF58=0,0,IF(30=CARTÕES!$F58,CARTÕES!$E58-(CARTÕES!$F58-1)*ROUND(CARTÕES!$E58/CARTÕES!$F58,0),ROUND(CARTÕES!$E58/CARTÕES!$F58,0)))</f>
        <v/>
      </c>
      <c r="BQ58" s="57">
        <f>IF(AG58=0,0,IF(31=CARTÕES!$F58,CARTÕES!$E58-(CARTÕES!$F58-1)*ROUND(CARTÕES!$E58/CARTÕES!$F58,0),ROUND(CARTÕES!$E58/CARTÕES!$F58,0)))</f>
        <v/>
      </c>
      <c r="BR58" s="57">
        <f>IF(AH58=0,0,IF(32=CARTÕES!$F58,CARTÕES!$E58-(CARTÕES!$F58-1)*ROUND(CARTÕES!$E58/CARTÕES!$F58,0),ROUND(CARTÕES!$E58/CARTÕES!$F58,0)))</f>
        <v/>
      </c>
      <c r="BS58" s="57">
        <f>IF(AI58=0,0,IF(33=CARTÕES!$F58,CARTÕES!$E58-(CARTÕES!$F58-1)*ROUND(CARTÕES!$E58/CARTÕES!$F58,0),ROUND(CARTÕES!$E58/CARTÕES!$F58,0)))</f>
        <v/>
      </c>
      <c r="BT58" s="57">
        <f>IF(AJ58=0,0,IF(34=CARTÕES!$F58,CARTÕES!$E58-(CARTÕES!$F58-1)*ROUND(CARTÕES!$E58/CARTÕES!$F58,0),ROUND(CARTÕES!$E58/CARTÕES!$F58,0)))</f>
        <v/>
      </c>
      <c r="BU58" s="57">
        <f>IF(AK58=0,0,IF(35=CARTÕES!$F58,CARTÕES!$E58-(CARTÕES!$F58-1)*ROUND(CARTÕES!$E58/CARTÕES!$F58,0),ROUND(CARTÕES!$E58/CARTÕES!$F58,0)))</f>
        <v/>
      </c>
      <c r="BV58" s="57">
        <f>IF(AL58=0,0,IF(36=CARTÕES!$F58,CARTÕES!$E58-(CARTÕES!$F58-1)*ROUND(CARTÕES!$E58/CARTÕES!$F58,0),ROUND(CARTÕES!$E58/CARTÕES!$F58,0)))</f>
        <v/>
      </c>
    </row>
    <row r="59">
      <c r="A59" s="55">
        <f>IF(CARTÕES!$C59="","",CARTÕES!$C59)</f>
        <v/>
      </c>
      <c r="B59" s="56">
        <f>SUMPRODUCT((C59:AL59='RESUMO MENSAL'!$C$4)*AM59:BV59)</f>
        <v/>
      </c>
      <c r="C59" s="57">
        <f>IF(OR(CARTÕES!$K59=0,CARTÕES!$F59=""),0,IF(1&gt;CARTÕES!$F59,0,CARTÕES!$K59+1-1))</f>
        <v/>
      </c>
      <c r="D59" s="57">
        <f>IF(OR(CARTÕES!$K59=0,CARTÕES!$F59=""),0,IF(2&gt;CARTÕES!$F59,0,CARTÕES!$K59+2-1))</f>
        <v/>
      </c>
      <c r="E59" s="57">
        <f>IF(OR(CARTÕES!$K59=0,CARTÕES!$F59=""),0,IF(3&gt;CARTÕES!$F59,0,CARTÕES!$K59+3-1))</f>
        <v/>
      </c>
      <c r="F59" s="57">
        <f>IF(OR(CARTÕES!$K59=0,CARTÕES!$F59=""),0,IF(4&gt;CARTÕES!$F59,0,CARTÕES!$K59+4-1))</f>
        <v/>
      </c>
      <c r="G59" s="57">
        <f>IF(OR(CARTÕES!$K59=0,CARTÕES!$F59=""),0,IF(5&gt;CARTÕES!$F59,0,CARTÕES!$K59+5-1))</f>
        <v/>
      </c>
      <c r="H59" s="57">
        <f>IF(OR(CARTÕES!$K59=0,CARTÕES!$F59=""),0,IF(6&gt;CARTÕES!$F59,0,CARTÕES!$K59+6-1))</f>
        <v/>
      </c>
      <c r="I59" s="57">
        <f>IF(OR(CARTÕES!$K59=0,CARTÕES!$F59=""),0,IF(7&gt;CARTÕES!$F59,0,CARTÕES!$K59+7-1))</f>
        <v/>
      </c>
      <c r="J59" s="57">
        <f>IF(OR(CARTÕES!$K59=0,CARTÕES!$F59=""),0,IF(8&gt;CARTÕES!$F59,0,CARTÕES!$K59+8-1))</f>
        <v/>
      </c>
      <c r="K59" s="57">
        <f>IF(OR(CARTÕES!$K59=0,CARTÕES!$F59=""),0,IF(9&gt;CARTÕES!$F59,0,CARTÕES!$K59+9-1))</f>
        <v/>
      </c>
      <c r="L59" s="57">
        <f>IF(OR(CARTÕES!$K59=0,CARTÕES!$F59=""),0,IF(10&gt;CARTÕES!$F59,0,CARTÕES!$K59+10-1))</f>
        <v/>
      </c>
      <c r="M59" s="57">
        <f>IF(OR(CARTÕES!$K59=0,CARTÕES!$F59=""),0,IF(11&gt;CARTÕES!$F59,0,CARTÕES!$K59+11-1))</f>
        <v/>
      </c>
      <c r="N59" s="57">
        <f>IF(OR(CARTÕES!$K59=0,CARTÕES!$F59=""),0,IF(12&gt;CARTÕES!$F59,0,CARTÕES!$K59+12-1))</f>
        <v/>
      </c>
      <c r="O59" s="57">
        <f>IF(OR(CARTÕES!$K59=0,CARTÕES!$F59=""),0,IF(13&gt;CARTÕES!$F59,0,CARTÕES!$K59+13-1))</f>
        <v/>
      </c>
      <c r="P59" s="57">
        <f>IF(OR(CARTÕES!$K59=0,CARTÕES!$F59=""),0,IF(14&gt;CARTÕES!$F59,0,CARTÕES!$K59+14-1))</f>
        <v/>
      </c>
      <c r="Q59" s="57">
        <f>IF(OR(CARTÕES!$K59=0,CARTÕES!$F59=""),0,IF(15&gt;CARTÕES!$F59,0,CARTÕES!$K59+15-1))</f>
        <v/>
      </c>
      <c r="R59" s="57">
        <f>IF(OR(CARTÕES!$K59=0,CARTÕES!$F59=""),0,IF(16&gt;CARTÕES!$F59,0,CARTÕES!$K59+16-1))</f>
        <v/>
      </c>
      <c r="S59" s="57">
        <f>IF(OR(CARTÕES!$K59=0,CARTÕES!$F59=""),0,IF(17&gt;CARTÕES!$F59,0,CARTÕES!$K59+17-1))</f>
        <v/>
      </c>
      <c r="T59" s="57">
        <f>IF(OR(CARTÕES!$K59=0,CARTÕES!$F59=""),0,IF(18&gt;CARTÕES!$F59,0,CARTÕES!$K59+18-1))</f>
        <v/>
      </c>
      <c r="U59" s="57">
        <f>IF(OR(CARTÕES!$K59=0,CARTÕES!$F59=""),0,IF(19&gt;CARTÕES!$F59,0,CARTÕES!$K59+19-1))</f>
        <v/>
      </c>
      <c r="V59" s="57">
        <f>IF(OR(CARTÕES!$K59=0,CARTÕES!$F59=""),0,IF(20&gt;CARTÕES!$F59,0,CARTÕES!$K59+20-1))</f>
        <v/>
      </c>
      <c r="W59" s="57">
        <f>IF(OR(CARTÕES!$K59=0,CARTÕES!$F59=""),0,IF(21&gt;CARTÕES!$F59,0,CARTÕES!$K59+21-1))</f>
        <v/>
      </c>
      <c r="X59" s="57">
        <f>IF(OR(CARTÕES!$K59=0,CARTÕES!$F59=""),0,IF(22&gt;CARTÕES!$F59,0,CARTÕES!$K59+22-1))</f>
        <v/>
      </c>
      <c r="Y59" s="57">
        <f>IF(OR(CARTÕES!$K59=0,CARTÕES!$F59=""),0,IF(23&gt;CARTÕES!$F59,0,CARTÕES!$K59+23-1))</f>
        <v/>
      </c>
      <c r="Z59" s="57">
        <f>IF(OR(CARTÕES!$K59=0,CARTÕES!$F59=""),0,IF(24&gt;CARTÕES!$F59,0,CARTÕES!$K59+24-1))</f>
        <v/>
      </c>
      <c r="AA59" s="57">
        <f>IF(OR(CARTÕES!$K59=0,CARTÕES!$F59=""),0,IF(25&gt;CARTÕES!$F59,0,CARTÕES!$K59+25-1))</f>
        <v/>
      </c>
      <c r="AB59" s="57">
        <f>IF(OR(CARTÕES!$K59=0,CARTÕES!$F59=""),0,IF(26&gt;CARTÕES!$F59,0,CARTÕES!$K59+26-1))</f>
        <v/>
      </c>
      <c r="AC59" s="57">
        <f>IF(OR(CARTÕES!$K59=0,CARTÕES!$F59=""),0,IF(27&gt;CARTÕES!$F59,0,CARTÕES!$K59+27-1))</f>
        <v/>
      </c>
      <c r="AD59" s="57">
        <f>IF(OR(CARTÕES!$K59=0,CARTÕES!$F59=""),0,IF(28&gt;CARTÕES!$F59,0,CARTÕES!$K59+28-1))</f>
        <v/>
      </c>
      <c r="AE59" s="57">
        <f>IF(OR(CARTÕES!$K59=0,CARTÕES!$F59=""),0,IF(29&gt;CARTÕES!$F59,0,CARTÕES!$K59+29-1))</f>
        <v/>
      </c>
      <c r="AF59" s="57">
        <f>IF(OR(CARTÕES!$K59=0,CARTÕES!$F59=""),0,IF(30&gt;CARTÕES!$F59,0,CARTÕES!$K59+30-1))</f>
        <v/>
      </c>
      <c r="AG59" s="57">
        <f>IF(OR(CARTÕES!$K59=0,CARTÕES!$F59=""),0,IF(31&gt;CARTÕES!$F59,0,CARTÕES!$K59+31-1))</f>
        <v/>
      </c>
      <c r="AH59" s="57">
        <f>IF(OR(CARTÕES!$K59=0,CARTÕES!$F59=""),0,IF(32&gt;CARTÕES!$F59,0,CARTÕES!$K59+32-1))</f>
        <v/>
      </c>
      <c r="AI59" s="57">
        <f>IF(OR(CARTÕES!$K59=0,CARTÕES!$F59=""),0,IF(33&gt;CARTÕES!$F59,0,CARTÕES!$K59+33-1))</f>
        <v/>
      </c>
      <c r="AJ59" s="57">
        <f>IF(OR(CARTÕES!$K59=0,CARTÕES!$F59=""),0,IF(34&gt;CARTÕES!$F59,0,CARTÕES!$K59+34-1))</f>
        <v/>
      </c>
      <c r="AK59" s="57">
        <f>IF(OR(CARTÕES!$K59=0,CARTÕES!$F59=""),0,IF(35&gt;CARTÕES!$F59,0,CARTÕES!$K59+35-1))</f>
        <v/>
      </c>
      <c r="AL59" s="57">
        <f>IF(OR(CARTÕES!$K59=0,CARTÕES!$F59=""),0,IF(36&gt;CARTÕES!$F59,0,CARTÕES!$K59+36-1))</f>
        <v/>
      </c>
      <c r="AM59" s="57">
        <f>IF(C59=0,0,IF(1=CARTÕES!$F59,CARTÕES!$E59-(CARTÕES!$F59-1)*ROUND(CARTÕES!$E59/CARTÕES!$F59,0),ROUND(CARTÕES!$E59/CARTÕES!$F59,0)))</f>
        <v/>
      </c>
      <c r="AN59" s="57">
        <f>IF(D59=0,0,IF(2=CARTÕES!$F59,CARTÕES!$E59-(CARTÕES!$F59-1)*ROUND(CARTÕES!$E59/CARTÕES!$F59,0),ROUND(CARTÕES!$E59/CARTÕES!$F59,0)))</f>
        <v/>
      </c>
      <c r="AO59" s="57">
        <f>IF(E59=0,0,IF(3=CARTÕES!$F59,CARTÕES!$E59-(CARTÕES!$F59-1)*ROUND(CARTÕES!$E59/CARTÕES!$F59,0),ROUND(CARTÕES!$E59/CARTÕES!$F59,0)))</f>
        <v/>
      </c>
      <c r="AP59" s="57">
        <f>IF(F59=0,0,IF(4=CARTÕES!$F59,CARTÕES!$E59-(CARTÕES!$F59-1)*ROUND(CARTÕES!$E59/CARTÕES!$F59,0),ROUND(CARTÕES!$E59/CARTÕES!$F59,0)))</f>
        <v/>
      </c>
      <c r="AQ59" s="57">
        <f>IF(G59=0,0,IF(5=CARTÕES!$F59,CARTÕES!$E59-(CARTÕES!$F59-1)*ROUND(CARTÕES!$E59/CARTÕES!$F59,0),ROUND(CARTÕES!$E59/CARTÕES!$F59,0)))</f>
        <v/>
      </c>
      <c r="AR59" s="57">
        <f>IF(H59=0,0,IF(6=CARTÕES!$F59,CARTÕES!$E59-(CARTÕES!$F59-1)*ROUND(CARTÕES!$E59/CARTÕES!$F59,0),ROUND(CARTÕES!$E59/CARTÕES!$F59,0)))</f>
        <v/>
      </c>
      <c r="AS59" s="57">
        <f>IF(I59=0,0,IF(7=CARTÕES!$F59,CARTÕES!$E59-(CARTÕES!$F59-1)*ROUND(CARTÕES!$E59/CARTÕES!$F59,0),ROUND(CARTÕES!$E59/CARTÕES!$F59,0)))</f>
        <v/>
      </c>
      <c r="AT59" s="57">
        <f>IF(J59=0,0,IF(8=CARTÕES!$F59,CARTÕES!$E59-(CARTÕES!$F59-1)*ROUND(CARTÕES!$E59/CARTÕES!$F59,0),ROUND(CARTÕES!$E59/CARTÕES!$F59,0)))</f>
        <v/>
      </c>
      <c r="AU59" s="57">
        <f>IF(K59=0,0,IF(9=CARTÕES!$F59,CARTÕES!$E59-(CARTÕES!$F59-1)*ROUND(CARTÕES!$E59/CARTÕES!$F59,0),ROUND(CARTÕES!$E59/CARTÕES!$F59,0)))</f>
        <v/>
      </c>
      <c r="AV59" s="57">
        <f>IF(L59=0,0,IF(10=CARTÕES!$F59,CARTÕES!$E59-(CARTÕES!$F59-1)*ROUND(CARTÕES!$E59/CARTÕES!$F59,0),ROUND(CARTÕES!$E59/CARTÕES!$F59,0)))</f>
        <v/>
      </c>
      <c r="AW59" s="57">
        <f>IF(M59=0,0,IF(11=CARTÕES!$F59,CARTÕES!$E59-(CARTÕES!$F59-1)*ROUND(CARTÕES!$E59/CARTÕES!$F59,0),ROUND(CARTÕES!$E59/CARTÕES!$F59,0)))</f>
        <v/>
      </c>
      <c r="AX59" s="57">
        <f>IF(N59=0,0,IF(12=CARTÕES!$F59,CARTÕES!$E59-(CARTÕES!$F59-1)*ROUND(CARTÕES!$E59/CARTÕES!$F59,0),ROUND(CARTÕES!$E59/CARTÕES!$F59,0)))</f>
        <v/>
      </c>
      <c r="AY59" s="57">
        <f>IF(O59=0,0,IF(13=CARTÕES!$F59,CARTÕES!$E59-(CARTÕES!$F59-1)*ROUND(CARTÕES!$E59/CARTÕES!$F59,0),ROUND(CARTÕES!$E59/CARTÕES!$F59,0)))</f>
        <v/>
      </c>
      <c r="AZ59" s="57">
        <f>IF(P59=0,0,IF(14=CARTÕES!$F59,CARTÕES!$E59-(CARTÕES!$F59-1)*ROUND(CARTÕES!$E59/CARTÕES!$F59,0),ROUND(CARTÕES!$E59/CARTÕES!$F59,0)))</f>
        <v/>
      </c>
      <c r="BA59" s="57">
        <f>IF(Q59=0,0,IF(15=CARTÕES!$F59,CARTÕES!$E59-(CARTÕES!$F59-1)*ROUND(CARTÕES!$E59/CARTÕES!$F59,0),ROUND(CARTÕES!$E59/CARTÕES!$F59,0)))</f>
        <v/>
      </c>
      <c r="BB59" s="57">
        <f>IF(R59=0,0,IF(16=CARTÕES!$F59,CARTÕES!$E59-(CARTÕES!$F59-1)*ROUND(CARTÕES!$E59/CARTÕES!$F59,0),ROUND(CARTÕES!$E59/CARTÕES!$F59,0)))</f>
        <v/>
      </c>
      <c r="BC59" s="57">
        <f>IF(S59=0,0,IF(17=CARTÕES!$F59,CARTÕES!$E59-(CARTÕES!$F59-1)*ROUND(CARTÕES!$E59/CARTÕES!$F59,0),ROUND(CARTÕES!$E59/CARTÕES!$F59,0)))</f>
        <v/>
      </c>
      <c r="BD59" s="57">
        <f>IF(T59=0,0,IF(18=CARTÕES!$F59,CARTÕES!$E59-(CARTÕES!$F59-1)*ROUND(CARTÕES!$E59/CARTÕES!$F59,0),ROUND(CARTÕES!$E59/CARTÕES!$F59,0)))</f>
        <v/>
      </c>
      <c r="BE59" s="57">
        <f>IF(U59=0,0,IF(19=CARTÕES!$F59,CARTÕES!$E59-(CARTÕES!$F59-1)*ROUND(CARTÕES!$E59/CARTÕES!$F59,0),ROUND(CARTÕES!$E59/CARTÕES!$F59,0)))</f>
        <v/>
      </c>
      <c r="BF59" s="57">
        <f>IF(V59=0,0,IF(20=CARTÕES!$F59,CARTÕES!$E59-(CARTÕES!$F59-1)*ROUND(CARTÕES!$E59/CARTÕES!$F59,0),ROUND(CARTÕES!$E59/CARTÕES!$F59,0)))</f>
        <v/>
      </c>
      <c r="BG59" s="57">
        <f>IF(W59=0,0,IF(21=CARTÕES!$F59,CARTÕES!$E59-(CARTÕES!$F59-1)*ROUND(CARTÕES!$E59/CARTÕES!$F59,0),ROUND(CARTÕES!$E59/CARTÕES!$F59,0)))</f>
        <v/>
      </c>
      <c r="BH59" s="57">
        <f>IF(X59=0,0,IF(22=CARTÕES!$F59,CARTÕES!$E59-(CARTÕES!$F59-1)*ROUND(CARTÕES!$E59/CARTÕES!$F59,0),ROUND(CARTÕES!$E59/CARTÕES!$F59,0)))</f>
        <v/>
      </c>
      <c r="BI59" s="57">
        <f>IF(Y59=0,0,IF(23=CARTÕES!$F59,CARTÕES!$E59-(CARTÕES!$F59-1)*ROUND(CARTÕES!$E59/CARTÕES!$F59,0),ROUND(CARTÕES!$E59/CARTÕES!$F59,0)))</f>
        <v/>
      </c>
      <c r="BJ59" s="57">
        <f>IF(Z59=0,0,IF(24=CARTÕES!$F59,CARTÕES!$E59-(CARTÕES!$F59-1)*ROUND(CARTÕES!$E59/CARTÕES!$F59,0),ROUND(CARTÕES!$E59/CARTÕES!$F59,0)))</f>
        <v/>
      </c>
      <c r="BK59" s="57">
        <f>IF(AA59=0,0,IF(25=CARTÕES!$F59,CARTÕES!$E59-(CARTÕES!$F59-1)*ROUND(CARTÕES!$E59/CARTÕES!$F59,0),ROUND(CARTÕES!$E59/CARTÕES!$F59,0)))</f>
        <v/>
      </c>
      <c r="BL59" s="57">
        <f>IF(AB59=0,0,IF(26=CARTÕES!$F59,CARTÕES!$E59-(CARTÕES!$F59-1)*ROUND(CARTÕES!$E59/CARTÕES!$F59,0),ROUND(CARTÕES!$E59/CARTÕES!$F59,0)))</f>
        <v/>
      </c>
      <c r="BM59" s="57">
        <f>IF(AC59=0,0,IF(27=CARTÕES!$F59,CARTÕES!$E59-(CARTÕES!$F59-1)*ROUND(CARTÕES!$E59/CARTÕES!$F59,0),ROUND(CARTÕES!$E59/CARTÕES!$F59,0)))</f>
        <v/>
      </c>
      <c r="BN59" s="57">
        <f>IF(AD59=0,0,IF(28=CARTÕES!$F59,CARTÕES!$E59-(CARTÕES!$F59-1)*ROUND(CARTÕES!$E59/CARTÕES!$F59,0),ROUND(CARTÕES!$E59/CARTÕES!$F59,0)))</f>
        <v/>
      </c>
      <c r="BO59" s="57">
        <f>IF(AE59=0,0,IF(29=CARTÕES!$F59,CARTÕES!$E59-(CARTÕES!$F59-1)*ROUND(CARTÕES!$E59/CARTÕES!$F59,0),ROUND(CARTÕES!$E59/CARTÕES!$F59,0)))</f>
        <v/>
      </c>
      <c r="BP59" s="57">
        <f>IF(AF59=0,0,IF(30=CARTÕES!$F59,CARTÕES!$E59-(CARTÕES!$F59-1)*ROUND(CARTÕES!$E59/CARTÕES!$F59,0),ROUND(CARTÕES!$E59/CARTÕES!$F59,0)))</f>
        <v/>
      </c>
      <c r="BQ59" s="57">
        <f>IF(AG59=0,0,IF(31=CARTÕES!$F59,CARTÕES!$E59-(CARTÕES!$F59-1)*ROUND(CARTÕES!$E59/CARTÕES!$F59,0),ROUND(CARTÕES!$E59/CARTÕES!$F59,0)))</f>
        <v/>
      </c>
      <c r="BR59" s="57">
        <f>IF(AH59=0,0,IF(32=CARTÕES!$F59,CARTÕES!$E59-(CARTÕES!$F59-1)*ROUND(CARTÕES!$E59/CARTÕES!$F59,0),ROUND(CARTÕES!$E59/CARTÕES!$F59,0)))</f>
        <v/>
      </c>
      <c r="BS59" s="57">
        <f>IF(AI59=0,0,IF(33=CARTÕES!$F59,CARTÕES!$E59-(CARTÕES!$F59-1)*ROUND(CARTÕES!$E59/CARTÕES!$F59,0),ROUND(CARTÕES!$E59/CARTÕES!$F59,0)))</f>
        <v/>
      </c>
      <c r="BT59" s="57">
        <f>IF(AJ59=0,0,IF(34=CARTÕES!$F59,CARTÕES!$E59-(CARTÕES!$F59-1)*ROUND(CARTÕES!$E59/CARTÕES!$F59,0),ROUND(CARTÕES!$E59/CARTÕES!$F59,0)))</f>
        <v/>
      </c>
      <c r="BU59" s="57">
        <f>IF(AK59=0,0,IF(35=CARTÕES!$F59,CARTÕES!$E59-(CARTÕES!$F59-1)*ROUND(CARTÕES!$E59/CARTÕES!$F59,0),ROUND(CARTÕES!$E59/CARTÕES!$F59,0)))</f>
        <v/>
      </c>
      <c r="BV59" s="57">
        <f>IF(AL59=0,0,IF(36=CARTÕES!$F59,CARTÕES!$E59-(CARTÕES!$F59-1)*ROUND(CARTÕES!$E59/CARTÕES!$F59,0),ROUND(CARTÕES!$E59/CARTÕES!$F59,0)))</f>
        <v/>
      </c>
    </row>
    <row r="60">
      <c r="A60" s="55">
        <f>IF(CARTÕES!$C60="","",CARTÕES!$C60)</f>
        <v/>
      </c>
      <c r="B60" s="56">
        <f>SUMPRODUCT((C60:AL60='RESUMO MENSAL'!$C$4)*AM60:BV60)</f>
        <v/>
      </c>
      <c r="C60" s="57">
        <f>IF(OR(CARTÕES!$K60=0,CARTÕES!$F60=""),0,IF(1&gt;CARTÕES!$F60,0,CARTÕES!$K60+1-1))</f>
        <v/>
      </c>
      <c r="D60" s="57">
        <f>IF(OR(CARTÕES!$K60=0,CARTÕES!$F60=""),0,IF(2&gt;CARTÕES!$F60,0,CARTÕES!$K60+2-1))</f>
        <v/>
      </c>
      <c r="E60" s="57">
        <f>IF(OR(CARTÕES!$K60=0,CARTÕES!$F60=""),0,IF(3&gt;CARTÕES!$F60,0,CARTÕES!$K60+3-1))</f>
        <v/>
      </c>
      <c r="F60" s="57">
        <f>IF(OR(CARTÕES!$K60=0,CARTÕES!$F60=""),0,IF(4&gt;CARTÕES!$F60,0,CARTÕES!$K60+4-1))</f>
        <v/>
      </c>
      <c r="G60" s="57">
        <f>IF(OR(CARTÕES!$K60=0,CARTÕES!$F60=""),0,IF(5&gt;CARTÕES!$F60,0,CARTÕES!$K60+5-1))</f>
        <v/>
      </c>
      <c r="H60" s="57">
        <f>IF(OR(CARTÕES!$K60=0,CARTÕES!$F60=""),0,IF(6&gt;CARTÕES!$F60,0,CARTÕES!$K60+6-1))</f>
        <v/>
      </c>
      <c r="I60" s="57">
        <f>IF(OR(CARTÕES!$K60=0,CARTÕES!$F60=""),0,IF(7&gt;CARTÕES!$F60,0,CARTÕES!$K60+7-1))</f>
        <v/>
      </c>
      <c r="J60" s="57">
        <f>IF(OR(CARTÕES!$K60=0,CARTÕES!$F60=""),0,IF(8&gt;CARTÕES!$F60,0,CARTÕES!$K60+8-1))</f>
        <v/>
      </c>
      <c r="K60" s="57">
        <f>IF(OR(CARTÕES!$K60=0,CARTÕES!$F60=""),0,IF(9&gt;CARTÕES!$F60,0,CARTÕES!$K60+9-1))</f>
        <v/>
      </c>
      <c r="L60" s="57">
        <f>IF(OR(CARTÕES!$K60=0,CARTÕES!$F60=""),0,IF(10&gt;CARTÕES!$F60,0,CARTÕES!$K60+10-1))</f>
        <v/>
      </c>
      <c r="M60" s="57">
        <f>IF(OR(CARTÕES!$K60=0,CARTÕES!$F60=""),0,IF(11&gt;CARTÕES!$F60,0,CARTÕES!$K60+11-1))</f>
        <v/>
      </c>
      <c r="N60" s="57">
        <f>IF(OR(CARTÕES!$K60=0,CARTÕES!$F60=""),0,IF(12&gt;CARTÕES!$F60,0,CARTÕES!$K60+12-1))</f>
        <v/>
      </c>
      <c r="O60" s="57">
        <f>IF(OR(CARTÕES!$K60=0,CARTÕES!$F60=""),0,IF(13&gt;CARTÕES!$F60,0,CARTÕES!$K60+13-1))</f>
        <v/>
      </c>
      <c r="P60" s="57">
        <f>IF(OR(CARTÕES!$K60=0,CARTÕES!$F60=""),0,IF(14&gt;CARTÕES!$F60,0,CARTÕES!$K60+14-1))</f>
        <v/>
      </c>
      <c r="Q60" s="57">
        <f>IF(OR(CARTÕES!$K60=0,CARTÕES!$F60=""),0,IF(15&gt;CARTÕES!$F60,0,CARTÕES!$K60+15-1))</f>
        <v/>
      </c>
      <c r="R60" s="57">
        <f>IF(OR(CARTÕES!$K60=0,CARTÕES!$F60=""),0,IF(16&gt;CARTÕES!$F60,0,CARTÕES!$K60+16-1))</f>
        <v/>
      </c>
      <c r="S60" s="57">
        <f>IF(OR(CARTÕES!$K60=0,CARTÕES!$F60=""),0,IF(17&gt;CARTÕES!$F60,0,CARTÕES!$K60+17-1))</f>
        <v/>
      </c>
      <c r="T60" s="57">
        <f>IF(OR(CARTÕES!$K60=0,CARTÕES!$F60=""),0,IF(18&gt;CARTÕES!$F60,0,CARTÕES!$K60+18-1))</f>
        <v/>
      </c>
      <c r="U60" s="57">
        <f>IF(OR(CARTÕES!$K60=0,CARTÕES!$F60=""),0,IF(19&gt;CARTÕES!$F60,0,CARTÕES!$K60+19-1))</f>
        <v/>
      </c>
      <c r="V60" s="57">
        <f>IF(OR(CARTÕES!$K60=0,CARTÕES!$F60=""),0,IF(20&gt;CARTÕES!$F60,0,CARTÕES!$K60+20-1))</f>
        <v/>
      </c>
      <c r="W60" s="57">
        <f>IF(OR(CARTÕES!$K60=0,CARTÕES!$F60=""),0,IF(21&gt;CARTÕES!$F60,0,CARTÕES!$K60+21-1))</f>
        <v/>
      </c>
      <c r="X60" s="57">
        <f>IF(OR(CARTÕES!$K60=0,CARTÕES!$F60=""),0,IF(22&gt;CARTÕES!$F60,0,CARTÕES!$K60+22-1))</f>
        <v/>
      </c>
      <c r="Y60" s="57">
        <f>IF(OR(CARTÕES!$K60=0,CARTÕES!$F60=""),0,IF(23&gt;CARTÕES!$F60,0,CARTÕES!$K60+23-1))</f>
        <v/>
      </c>
      <c r="Z60" s="57">
        <f>IF(OR(CARTÕES!$K60=0,CARTÕES!$F60=""),0,IF(24&gt;CARTÕES!$F60,0,CARTÕES!$K60+24-1))</f>
        <v/>
      </c>
      <c r="AA60" s="57">
        <f>IF(OR(CARTÕES!$K60=0,CARTÕES!$F60=""),0,IF(25&gt;CARTÕES!$F60,0,CARTÕES!$K60+25-1))</f>
        <v/>
      </c>
      <c r="AB60" s="57">
        <f>IF(OR(CARTÕES!$K60=0,CARTÕES!$F60=""),0,IF(26&gt;CARTÕES!$F60,0,CARTÕES!$K60+26-1))</f>
        <v/>
      </c>
      <c r="AC60" s="57">
        <f>IF(OR(CARTÕES!$K60=0,CARTÕES!$F60=""),0,IF(27&gt;CARTÕES!$F60,0,CARTÕES!$K60+27-1))</f>
        <v/>
      </c>
      <c r="AD60" s="57">
        <f>IF(OR(CARTÕES!$K60=0,CARTÕES!$F60=""),0,IF(28&gt;CARTÕES!$F60,0,CARTÕES!$K60+28-1))</f>
        <v/>
      </c>
      <c r="AE60" s="57">
        <f>IF(OR(CARTÕES!$K60=0,CARTÕES!$F60=""),0,IF(29&gt;CARTÕES!$F60,0,CARTÕES!$K60+29-1))</f>
        <v/>
      </c>
      <c r="AF60" s="57">
        <f>IF(OR(CARTÕES!$K60=0,CARTÕES!$F60=""),0,IF(30&gt;CARTÕES!$F60,0,CARTÕES!$K60+30-1))</f>
        <v/>
      </c>
      <c r="AG60" s="57">
        <f>IF(OR(CARTÕES!$K60=0,CARTÕES!$F60=""),0,IF(31&gt;CARTÕES!$F60,0,CARTÕES!$K60+31-1))</f>
        <v/>
      </c>
      <c r="AH60" s="57">
        <f>IF(OR(CARTÕES!$K60=0,CARTÕES!$F60=""),0,IF(32&gt;CARTÕES!$F60,0,CARTÕES!$K60+32-1))</f>
        <v/>
      </c>
      <c r="AI60" s="57">
        <f>IF(OR(CARTÕES!$K60=0,CARTÕES!$F60=""),0,IF(33&gt;CARTÕES!$F60,0,CARTÕES!$K60+33-1))</f>
        <v/>
      </c>
      <c r="AJ60" s="57">
        <f>IF(OR(CARTÕES!$K60=0,CARTÕES!$F60=""),0,IF(34&gt;CARTÕES!$F60,0,CARTÕES!$K60+34-1))</f>
        <v/>
      </c>
      <c r="AK60" s="57">
        <f>IF(OR(CARTÕES!$K60=0,CARTÕES!$F60=""),0,IF(35&gt;CARTÕES!$F60,0,CARTÕES!$K60+35-1))</f>
        <v/>
      </c>
      <c r="AL60" s="57">
        <f>IF(OR(CARTÕES!$K60=0,CARTÕES!$F60=""),0,IF(36&gt;CARTÕES!$F60,0,CARTÕES!$K60+36-1))</f>
        <v/>
      </c>
      <c r="AM60" s="57">
        <f>IF(C60=0,0,IF(1=CARTÕES!$F60,CARTÕES!$E60-(CARTÕES!$F60-1)*ROUND(CARTÕES!$E60/CARTÕES!$F60,0),ROUND(CARTÕES!$E60/CARTÕES!$F60,0)))</f>
        <v/>
      </c>
      <c r="AN60" s="57">
        <f>IF(D60=0,0,IF(2=CARTÕES!$F60,CARTÕES!$E60-(CARTÕES!$F60-1)*ROUND(CARTÕES!$E60/CARTÕES!$F60,0),ROUND(CARTÕES!$E60/CARTÕES!$F60,0)))</f>
        <v/>
      </c>
      <c r="AO60" s="57">
        <f>IF(E60=0,0,IF(3=CARTÕES!$F60,CARTÕES!$E60-(CARTÕES!$F60-1)*ROUND(CARTÕES!$E60/CARTÕES!$F60,0),ROUND(CARTÕES!$E60/CARTÕES!$F60,0)))</f>
        <v/>
      </c>
      <c r="AP60" s="57">
        <f>IF(F60=0,0,IF(4=CARTÕES!$F60,CARTÕES!$E60-(CARTÕES!$F60-1)*ROUND(CARTÕES!$E60/CARTÕES!$F60,0),ROUND(CARTÕES!$E60/CARTÕES!$F60,0)))</f>
        <v/>
      </c>
      <c r="AQ60" s="57">
        <f>IF(G60=0,0,IF(5=CARTÕES!$F60,CARTÕES!$E60-(CARTÕES!$F60-1)*ROUND(CARTÕES!$E60/CARTÕES!$F60,0),ROUND(CARTÕES!$E60/CARTÕES!$F60,0)))</f>
        <v/>
      </c>
      <c r="AR60" s="57">
        <f>IF(H60=0,0,IF(6=CARTÕES!$F60,CARTÕES!$E60-(CARTÕES!$F60-1)*ROUND(CARTÕES!$E60/CARTÕES!$F60,0),ROUND(CARTÕES!$E60/CARTÕES!$F60,0)))</f>
        <v/>
      </c>
      <c r="AS60" s="57">
        <f>IF(I60=0,0,IF(7=CARTÕES!$F60,CARTÕES!$E60-(CARTÕES!$F60-1)*ROUND(CARTÕES!$E60/CARTÕES!$F60,0),ROUND(CARTÕES!$E60/CARTÕES!$F60,0)))</f>
        <v/>
      </c>
      <c r="AT60" s="57">
        <f>IF(J60=0,0,IF(8=CARTÕES!$F60,CARTÕES!$E60-(CARTÕES!$F60-1)*ROUND(CARTÕES!$E60/CARTÕES!$F60,0),ROUND(CARTÕES!$E60/CARTÕES!$F60,0)))</f>
        <v/>
      </c>
      <c r="AU60" s="57">
        <f>IF(K60=0,0,IF(9=CARTÕES!$F60,CARTÕES!$E60-(CARTÕES!$F60-1)*ROUND(CARTÕES!$E60/CARTÕES!$F60,0),ROUND(CARTÕES!$E60/CARTÕES!$F60,0)))</f>
        <v/>
      </c>
      <c r="AV60" s="57">
        <f>IF(L60=0,0,IF(10=CARTÕES!$F60,CARTÕES!$E60-(CARTÕES!$F60-1)*ROUND(CARTÕES!$E60/CARTÕES!$F60,0),ROUND(CARTÕES!$E60/CARTÕES!$F60,0)))</f>
        <v/>
      </c>
      <c r="AW60" s="57">
        <f>IF(M60=0,0,IF(11=CARTÕES!$F60,CARTÕES!$E60-(CARTÕES!$F60-1)*ROUND(CARTÕES!$E60/CARTÕES!$F60,0),ROUND(CARTÕES!$E60/CARTÕES!$F60,0)))</f>
        <v/>
      </c>
      <c r="AX60" s="57">
        <f>IF(N60=0,0,IF(12=CARTÕES!$F60,CARTÕES!$E60-(CARTÕES!$F60-1)*ROUND(CARTÕES!$E60/CARTÕES!$F60,0),ROUND(CARTÕES!$E60/CARTÕES!$F60,0)))</f>
        <v/>
      </c>
      <c r="AY60" s="57">
        <f>IF(O60=0,0,IF(13=CARTÕES!$F60,CARTÕES!$E60-(CARTÕES!$F60-1)*ROUND(CARTÕES!$E60/CARTÕES!$F60,0),ROUND(CARTÕES!$E60/CARTÕES!$F60,0)))</f>
        <v/>
      </c>
      <c r="AZ60" s="57">
        <f>IF(P60=0,0,IF(14=CARTÕES!$F60,CARTÕES!$E60-(CARTÕES!$F60-1)*ROUND(CARTÕES!$E60/CARTÕES!$F60,0),ROUND(CARTÕES!$E60/CARTÕES!$F60,0)))</f>
        <v/>
      </c>
      <c r="BA60" s="57">
        <f>IF(Q60=0,0,IF(15=CARTÕES!$F60,CARTÕES!$E60-(CARTÕES!$F60-1)*ROUND(CARTÕES!$E60/CARTÕES!$F60,0),ROUND(CARTÕES!$E60/CARTÕES!$F60,0)))</f>
        <v/>
      </c>
      <c r="BB60" s="57">
        <f>IF(R60=0,0,IF(16=CARTÕES!$F60,CARTÕES!$E60-(CARTÕES!$F60-1)*ROUND(CARTÕES!$E60/CARTÕES!$F60,0),ROUND(CARTÕES!$E60/CARTÕES!$F60,0)))</f>
        <v/>
      </c>
      <c r="BC60" s="57">
        <f>IF(S60=0,0,IF(17=CARTÕES!$F60,CARTÕES!$E60-(CARTÕES!$F60-1)*ROUND(CARTÕES!$E60/CARTÕES!$F60,0),ROUND(CARTÕES!$E60/CARTÕES!$F60,0)))</f>
        <v/>
      </c>
      <c r="BD60" s="57">
        <f>IF(T60=0,0,IF(18=CARTÕES!$F60,CARTÕES!$E60-(CARTÕES!$F60-1)*ROUND(CARTÕES!$E60/CARTÕES!$F60,0),ROUND(CARTÕES!$E60/CARTÕES!$F60,0)))</f>
        <v/>
      </c>
      <c r="BE60" s="57">
        <f>IF(U60=0,0,IF(19=CARTÕES!$F60,CARTÕES!$E60-(CARTÕES!$F60-1)*ROUND(CARTÕES!$E60/CARTÕES!$F60,0),ROUND(CARTÕES!$E60/CARTÕES!$F60,0)))</f>
        <v/>
      </c>
      <c r="BF60" s="57">
        <f>IF(V60=0,0,IF(20=CARTÕES!$F60,CARTÕES!$E60-(CARTÕES!$F60-1)*ROUND(CARTÕES!$E60/CARTÕES!$F60,0),ROUND(CARTÕES!$E60/CARTÕES!$F60,0)))</f>
        <v/>
      </c>
      <c r="BG60" s="57">
        <f>IF(W60=0,0,IF(21=CARTÕES!$F60,CARTÕES!$E60-(CARTÕES!$F60-1)*ROUND(CARTÕES!$E60/CARTÕES!$F60,0),ROUND(CARTÕES!$E60/CARTÕES!$F60,0)))</f>
        <v/>
      </c>
      <c r="BH60" s="57">
        <f>IF(X60=0,0,IF(22=CARTÕES!$F60,CARTÕES!$E60-(CARTÕES!$F60-1)*ROUND(CARTÕES!$E60/CARTÕES!$F60,0),ROUND(CARTÕES!$E60/CARTÕES!$F60,0)))</f>
        <v/>
      </c>
      <c r="BI60" s="57">
        <f>IF(Y60=0,0,IF(23=CARTÕES!$F60,CARTÕES!$E60-(CARTÕES!$F60-1)*ROUND(CARTÕES!$E60/CARTÕES!$F60,0),ROUND(CARTÕES!$E60/CARTÕES!$F60,0)))</f>
        <v/>
      </c>
      <c r="BJ60" s="57">
        <f>IF(Z60=0,0,IF(24=CARTÕES!$F60,CARTÕES!$E60-(CARTÕES!$F60-1)*ROUND(CARTÕES!$E60/CARTÕES!$F60,0),ROUND(CARTÕES!$E60/CARTÕES!$F60,0)))</f>
        <v/>
      </c>
      <c r="BK60" s="57">
        <f>IF(AA60=0,0,IF(25=CARTÕES!$F60,CARTÕES!$E60-(CARTÕES!$F60-1)*ROUND(CARTÕES!$E60/CARTÕES!$F60,0),ROUND(CARTÕES!$E60/CARTÕES!$F60,0)))</f>
        <v/>
      </c>
      <c r="BL60" s="57">
        <f>IF(AB60=0,0,IF(26=CARTÕES!$F60,CARTÕES!$E60-(CARTÕES!$F60-1)*ROUND(CARTÕES!$E60/CARTÕES!$F60,0),ROUND(CARTÕES!$E60/CARTÕES!$F60,0)))</f>
        <v/>
      </c>
      <c r="BM60" s="57">
        <f>IF(AC60=0,0,IF(27=CARTÕES!$F60,CARTÕES!$E60-(CARTÕES!$F60-1)*ROUND(CARTÕES!$E60/CARTÕES!$F60,0),ROUND(CARTÕES!$E60/CARTÕES!$F60,0)))</f>
        <v/>
      </c>
      <c r="BN60" s="57">
        <f>IF(AD60=0,0,IF(28=CARTÕES!$F60,CARTÕES!$E60-(CARTÕES!$F60-1)*ROUND(CARTÕES!$E60/CARTÕES!$F60,0),ROUND(CARTÕES!$E60/CARTÕES!$F60,0)))</f>
        <v/>
      </c>
      <c r="BO60" s="57">
        <f>IF(AE60=0,0,IF(29=CARTÕES!$F60,CARTÕES!$E60-(CARTÕES!$F60-1)*ROUND(CARTÕES!$E60/CARTÕES!$F60,0),ROUND(CARTÕES!$E60/CARTÕES!$F60,0)))</f>
        <v/>
      </c>
      <c r="BP60" s="57">
        <f>IF(AF60=0,0,IF(30=CARTÕES!$F60,CARTÕES!$E60-(CARTÕES!$F60-1)*ROUND(CARTÕES!$E60/CARTÕES!$F60,0),ROUND(CARTÕES!$E60/CARTÕES!$F60,0)))</f>
        <v/>
      </c>
      <c r="BQ60" s="57">
        <f>IF(AG60=0,0,IF(31=CARTÕES!$F60,CARTÕES!$E60-(CARTÕES!$F60-1)*ROUND(CARTÕES!$E60/CARTÕES!$F60,0),ROUND(CARTÕES!$E60/CARTÕES!$F60,0)))</f>
        <v/>
      </c>
      <c r="BR60" s="57">
        <f>IF(AH60=0,0,IF(32=CARTÕES!$F60,CARTÕES!$E60-(CARTÕES!$F60-1)*ROUND(CARTÕES!$E60/CARTÕES!$F60,0),ROUND(CARTÕES!$E60/CARTÕES!$F60,0)))</f>
        <v/>
      </c>
      <c r="BS60" s="57">
        <f>IF(AI60=0,0,IF(33=CARTÕES!$F60,CARTÕES!$E60-(CARTÕES!$F60-1)*ROUND(CARTÕES!$E60/CARTÕES!$F60,0),ROUND(CARTÕES!$E60/CARTÕES!$F60,0)))</f>
        <v/>
      </c>
      <c r="BT60" s="57">
        <f>IF(AJ60=0,0,IF(34=CARTÕES!$F60,CARTÕES!$E60-(CARTÕES!$F60-1)*ROUND(CARTÕES!$E60/CARTÕES!$F60,0),ROUND(CARTÕES!$E60/CARTÕES!$F60,0)))</f>
        <v/>
      </c>
      <c r="BU60" s="57">
        <f>IF(AK60=0,0,IF(35=CARTÕES!$F60,CARTÕES!$E60-(CARTÕES!$F60-1)*ROUND(CARTÕES!$E60/CARTÕES!$F60,0),ROUND(CARTÕES!$E60/CARTÕES!$F60,0)))</f>
        <v/>
      </c>
      <c r="BV60" s="57">
        <f>IF(AL60=0,0,IF(36=CARTÕES!$F60,CARTÕES!$E60-(CARTÕES!$F60-1)*ROUND(CARTÕES!$E60/CARTÕES!$F60,0),ROUND(CARTÕES!$E60/CARTÕES!$F60,0)))</f>
        <v/>
      </c>
    </row>
    <row r="61">
      <c r="A61" s="55">
        <f>IF(CARTÕES!$C61="","",CARTÕES!$C61)</f>
        <v/>
      </c>
      <c r="B61" s="56">
        <f>SUMPRODUCT((C61:AL61='RESUMO MENSAL'!$C$4)*AM61:BV61)</f>
        <v/>
      </c>
      <c r="C61" s="57">
        <f>IF(OR(CARTÕES!$K61=0,CARTÕES!$F61=""),0,IF(1&gt;CARTÕES!$F61,0,CARTÕES!$K61+1-1))</f>
        <v/>
      </c>
      <c r="D61" s="57">
        <f>IF(OR(CARTÕES!$K61=0,CARTÕES!$F61=""),0,IF(2&gt;CARTÕES!$F61,0,CARTÕES!$K61+2-1))</f>
        <v/>
      </c>
      <c r="E61" s="57">
        <f>IF(OR(CARTÕES!$K61=0,CARTÕES!$F61=""),0,IF(3&gt;CARTÕES!$F61,0,CARTÕES!$K61+3-1))</f>
        <v/>
      </c>
      <c r="F61" s="57">
        <f>IF(OR(CARTÕES!$K61=0,CARTÕES!$F61=""),0,IF(4&gt;CARTÕES!$F61,0,CARTÕES!$K61+4-1))</f>
        <v/>
      </c>
      <c r="G61" s="57">
        <f>IF(OR(CARTÕES!$K61=0,CARTÕES!$F61=""),0,IF(5&gt;CARTÕES!$F61,0,CARTÕES!$K61+5-1))</f>
        <v/>
      </c>
      <c r="H61" s="57">
        <f>IF(OR(CARTÕES!$K61=0,CARTÕES!$F61=""),0,IF(6&gt;CARTÕES!$F61,0,CARTÕES!$K61+6-1))</f>
        <v/>
      </c>
      <c r="I61" s="57">
        <f>IF(OR(CARTÕES!$K61=0,CARTÕES!$F61=""),0,IF(7&gt;CARTÕES!$F61,0,CARTÕES!$K61+7-1))</f>
        <v/>
      </c>
      <c r="J61" s="57">
        <f>IF(OR(CARTÕES!$K61=0,CARTÕES!$F61=""),0,IF(8&gt;CARTÕES!$F61,0,CARTÕES!$K61+8-1))</f>
        <v/>
      </c>
      <c r="K61" s="57">
        <f>IF(OR(CARTÕES!$K61=0,CARTÕES!$F61=""),0,IF(9&gt;CARTÕES!$F61,0,CARTÕES!$K61+9-1))</f>
        <v/>
      </c>
      <c r="L61" s="57">
        <f>IF(OR(CARTÕES!$K61=0,CARTÕES!$F61=""),0,IF(10&gt;CARTÕES!$F61,0,CARTÕES!$K61+10-1))</f>
        <v/>
      </c>
      <c r="M61" s="57">
        <f>IF(OR(CARTÕES!$K61=0,CARTÕES!$F61=""),0,IF(11&gt;CARTÕES!$F61,0,CARTÕES!$K61+11-1))</f>
        <v/>
      </c>
      <c r="N61" s="57">
        <f>IF(OR(CARTÕES!$K61=0,CARTÕES!$F61=""),0,IF(12&gt;CARTÕES!$F61,0,CARTÕES!$K61+12-1))</f>
        <v/>
      </c>
      <c r="O61" s="57">
        <f>IF(OR(CARTÕES!$K61=0,CARTÕES!$F61=""),0,IF(13&gt;CARTÕES!$F61,0,CARTÕES!$K61+13-1))</f>
        <v/>
      </c>
      <c r="P61" s="57">
        <f>IF(OR(CARTÕES!$K61=0,CARTÕES!$F61=""),0,IF(14&gt;CARTÕES!$F61,0,CARTÕES!$K61+14-1))</f>
        <v/>
      </c>
      <c r="Q61" s="57">
        <f>IF(OR(CARTÕES!$K61=0,CARTÕES!$F61=""),0,IF(15&gt;CARTÕES!$F61,0,CARTÕES!$K61+15-1))</f>
        <v/>
      </c>
      <c r="R61" s="57">
        <f>IF(OR(CARTÕES!$K61=0,CARTÕES!$F61=""),0,IF(16&gt;CARTÕES!$F61,0,CARTÕES!$K61+16-1))</f>
        <v/>
      </c>
      <c r="S61" s="57">
        <f>IF(OR(CARTÕES!$K61=0,CARTÕES!$F61=""),0,IF(17&gt;CARTÕES!$F61,0,CARTÕES!$K61+17-1))</f>
        <v/>
      </c>
      <c r="T61" s="57">
        <f>IF(OR(CARTÕES!$K61=0,CARTÕES!$F61=""),0,IF(18&gt;CARTÕES!$F61,0,CARTÕES!$K61+18-1))</f>
        <v/>
      </c>
      <c r="U61" s="57">
        <f>IF(OR(CARTÕES!$K61=0,CARTÕES!$F61=""),0,IF(19&gt;CARTÕES!$F61,0,CARTÕES!$K61+19-1))</f>
        <v/>
      </c>
      <c r="V61" s="57">
        <f>IF(OR(CARTÕES!$K61=0,CARTÕES!$F61=""),0,IF(20&gt;CARTÕES!$F61,0,CARTÕES!$K61+20-1))</f>
        <v/>
      </c>
      <c r="W61" s="57">
        <f>IF(OR(CARTÕES!$K61=0,CARTÕES!$F61=""),0,IF(21&gt;CARTÕES!$F61,0,CARTÕES!$K61+21-1))</f>
        <v/>
      </c>
      <c r="X61" s="57">
        <f>IF(OR(CARTÕES!$K61=0,CARTÕES!$F61=""),0,IF(22&gt;CARTÕES!$F61,0,CARTÕES!$K61+22-1))</f>
        <v/>
      </c>
      <c r="Y61" s="57">
        <f>IF(OR(CARTÕES!$K61=0,CARTÕES!$F61=""),0,IF(23&gt;CARTÕES!$F61,0,CARTÕES!$K61+23-1))</f>
        <v/>
      </c>
      <c r="Z61" s="57">
        <f>IF(OR(CARTÕES!$K61=0,CARTÕES!$F61=""),0,IF(24&gt;CARTÕES!$F61,0,CARTÕES!$K61+24-1))</f>
        <v/>
      </c>
      <c r="AA61" s="57">
        <f>IF(OR(CARTÕES!$K61=0,CARTÕES!$F61=""),0,IF(25&gt;CARTÕES!$F61,0,CARTÕES!$K61+25-1))</f>
        <v/>
      </c>
      <c r="AB61" s="57">
        <f>IF(OR(CARTÕES!$K61=0,CARTÕES!$F61=""),0,IF(26&gt;CARTÕES!$F61,0,CARTÕES!$K61+26-1))</f>
        <v/>
      </c>
      <c r="AC61" s="57">
        <f>IF(OR(CARTÕES!$K61=0,CARTÕES!$F61=""),0,IF(27&gt;CARTÕES!$F61,0,CARTÕES!$K61+27-1))</f>
        <v/>
      </c>
      <c r="AD61" s="57">
        <f>IF(OR(CARTÕES!$K61=0,CARTÕES!$F61=""),0,IF(28&gt;CARTÕES!$F61,0,CARTÕES!$K61+28-1))</f>
        <v/>
      </c>
      <c r="AE61" s="57">
        <f>IF(OR(CARTÕES!$K61=0,CARTÕES!$F61=""),0,IF(29&gt;CARTÕES!$F61,0,CARTÕES!$K61+29-1))</f>
        <v/>
      </c>
      <c r="AF61" s="57">
        <f>IF(OR(CARTÕES!$K61=0,CARTÕES!$F61=""),0,IF(30&gt;CARTÕES!$F61,0,CARTÕES!$K61+30-1))</f>
        <v/>
      </c>
      <c r="AG61" s="57">
        <f>IF(OR(CARTÕES!$K61=0,CARTÕES!$F61=""),0,IF(31&gt;CARTÕES!$F61,0,CARTÕES!$K61+31-1))</f>
        <v/>
      </c>
      <c r="AH61" s="57">
        <f>IF(OR(CARTÕES!$K61=0,CARTÕES!$F61=""),0,IF(32&gt;CARTÕES!$F61,0,CARTÕES!$K61+32-1))</f>
        <v/>
      </c>
      <c r="AI61" s="57">
        <f>IF(OR(CARTÕES!$K61=0,CARTÕES!$F61=""),0,IF(33&gt;CARTÕES!$F61,0,CARTÕES!$K61+33-1))</f>
        <v/>
      </c>
      <c r="AJ61" s="57">
        <f>IF(OR(CARTÕES!$K61=0,CARTÕES!$F61=""),0,IF(34&gt;CARTÕES!$F61,0,CARTÕES!$K61+34-1))</f>
        <v/>
      </c>
      <c r="AK61" s="57">
        <f>IF(OR(CARTÕES!$K61=0,CARTÕES!$F61=""),0,IF(35&gt;CARTÕES!$F61,0,CARTÕES!$K61+35-1))</f>
        <v/>
      </c>
      <c r="AL61" s="57">
        <f>IF(OR(CARTÕES!$K61=0,CARTÕES!$F61=""),0,IF(36&gt;CARTÕES!$F61,0,CARTÕES!$K61+36-1))</f>
        <v/>
      </c>
      <c r="AM61" s="57">
        <f>IF(C61=0,0,IF(1=CARTÕES!$F61,CARTÕES!$E61-(CARTÕES!$F61-1)*ROUND(CARTÕES!$E61/CARTÕES!$F61,0),ROUND(CARTÕES!$E61/CARTÕES!$F61,0)))</f>
        <v/>
      </c>
      <c r="AN61" s="57">
        <f>IF(D61=0,0,IF(2=CARTÕES!$F61,CARTÕES!$E61-(CARTÕES!$F61-1)*ROUND(CARTÕES!$E61/CARTÕES!$F61,0),ROUND(CARTÕES!$E61/CARTÕES!$F61,0)))</f>
        <v/>
      </c>
      <c r="AO61" s="57">
        <f>IF(E61=0,0,IF(3=CARTÕES!$F61,CARTÕES!$E61-(CARTÕES!$F61-1)*ROUND(CARTÕES!$E61/CARTÕES!$F61,0),ROUND(CARTÕES!$E61/CARTÕES!$F61,0)))</f>
        <v/>
      </c>
      <c r="AP61" s="57">
        <f>IF(F61=0,0,IF(4=CARTÕES!$F61,CARTÕES!$E61-(CARTÕES!$F61-1)*ROUND(CARTÕES!$E61/CARTÕES!$F61,0),ROUND(CARTÕES!$E61/CARTÕES!$F61,0)))</f>
        <v/>
      </c>
      <c r="AQ61" s="57">
        <f>IF(G61=0,0,IF(5=CARTÕES!$F61,CARTÕES!$E61-(CARTÕES!$F61-1)*ROUND(CARTÕES!$E61/CARTÕES!$F61,0),ROUND(CARTÕES!$E61/CARTÕES!$F61,0)))</f>
        <v/>
      </c>
      <c r="AR61" s="57">
        <f>IF(H61=0,0,IF(6=CARTÕES!$F61,CARTÕES!$E61-(CARTÕES!$F61-1)*ROUND(CARTÕES!$E61/CARTÕES!$F61,0),ROUND(CARTÕES!$E61/CARTÕES!$F61,0)))</f>
        <v/>
      </c>
      <c r="AS61" s="57">
        <f>IF(I61=0,0,IF(7=CARTÕES!$F61,CARTÕES!$E61-(CARTÕES!$F61-1)*ROUND(CARTÕES!$E61/CARTÕES!$F61,0),ROUND(CARTÕES!$E61/CARTÕES!$F61,0)))</f>
        <v/>
      </c>
      <c r="AT61" s="57">
        <f>IF(J61=0,0,IF(8=CARTÕES!$F61,CARTÕES!$E61-(CARTÕES!$F61-1)*ROUND(CARTÕES!$E61/CARTÕES!$F61,0),ROUND(CARTÕES!$E61/CARTÕES!$F61,0)))</f>
        <v/>
      </c>
      <c r="AU61" s="57">
        <f>IF(K61=0,0,IF(9=CARTÕES!$F61,CARTÕES!$E61-(CARTÕES!$F61-1)*ROUND(CARTÕES!$E61/CARTÕES!$F61,0),ROUND(CARTÕES!$E61/CARTÕES!$F61,0)))</f>
        <v/>
      </c>
      <c r="AV61" s="57">
        <f>IF(L61=0,0,IF(10=CARTÕES!$F61,CARTÕES!$E61-(CARTÕES!$F61-1)*ROUND(CARTÕES!$E61/CARTÕES!$F61,0),ROUND(CARTÕES!$E61/CARTÕES!$F61,0)))</f>
        <v/>
      </c>
      <c r="AW61" s="57">
        <f>IF(M61=0,0,IF(11=CARTÕES!$F61,CARTÕES!$E61-(CARTÕES!$F61-1)*ROUND(CARTÕES!$E61/CARTÕES!$F61,0),ROUND(CARTÕES!$E61/CARTÕES!$F61,0)))</f>
        <v/>
      </c>
      <c r="AX61" s="57">
        <f>IF(N61=0,0,IF(12=CARTÕES!$F61,CARTÕES!$E61-(CARTÕES!$F61-1)*ROUND(CARTÕES!$E61/CARTÕES!$F61,0),ROUND(CARTÕES!$E61/CARTÕES!$F61,0)))</f>
        <v/>
      </c>
      <c r="AY61" s="57">
        <f>IF(O61=0,0,IF(13=CARTÕES!$F61,CARTÕES!$E61-(CARTÕES!$F61-1)*ROUND(CARTÕES!$E61/CARTÕES!$F61,0),ROUND(CARTÕES!$E61/CARTÕES!$F61,0)))</f>
        <v/>
      </c>
      <c r="AZ61" s="57">
        <f>IF(P61=0,0,IF(14=CARTÕES!$F61,CARTÕES!$E61-(CARTÕES!$F61-1)*ROUND(CARTÕES!$E61/CARTÕES!$F61,0),ROUND(CARTÕES!$E61/CARTÕES!$F61,0)))</f>
        <v/>
      </c>
      <c r="BA61" s="57">
        <f>IF(Q61=0,0,IF(15=CARTÕES!$F61,CARTÕES!$E61-(CARTÕES!$F61-1)*ROUND(CARTÕES!$E61/CARTÕES!$F61,0),ROUND(CARTÕES!$E61/CARTÕES!$F61,0)))</f>
        <v/>
      </c>
      <c r="BB61" s="57">
        <f>IF(R61=0,0,IF(16=CARTÕES!$F61,CARTÕES!$E61-(CARTÕES!$F61-1)*ROUND(CARTÕES!$E61/CARTÕES!$F61,0),ROUND(CARTÕES!$E61/CARTÕES!$F61,0)))</f>
        <v/>
      </c>
      <c r="BC61" s="57">
        <f>IF(S61=0,0,IF(17=CARTÕES!$F61,CARTÕES!$E61-(CARTÕES!$F61-1)*ROUND(CARTÕES!$E61/CARTÕES!$F61,0),ROUND(CARTÕES!$E61/CARTÕES!$F61,0)))</f>
        <v/>
      </c>
      <c r="BD61" s="57">
        <f>IF(T61=0,0,IF(18=CARTÕES!$F61,CARTÕES!$E61-(CARTÕES!$F61-1)*ROUND(CARTÕES!$E61/CARTÕES!$F61,0),ROUND(CARTÕES!$E61/CARTÕES!$F61,0)))</f>
        <v/>
      </c>
      <c r="BE61" s="57">
        <f>IF(U61=0,0,IF(19=CARTÕES!$F61,CARTÕES!$E61-(CARTÕES!$F61-1)*ROUND(CARTÕES!$E61/CARTÕES!$F61,0),ROUND(CARTÕES!$E61/CARTÕES!$F61,0)))</f>
        <v/>
      </c>
      <c r="BF61" s="57">
        <f>IF(V61=0,0,IF(20=CARTÕES!$F61,CARTÕES!$E61-(CARTÕES!$F61-1)*ROUND(CARTÕES!$E61/CARTÕES!$F61,0),ROUND(CARTÕES!$E61/CARTÕES!$F61,0)))</f>
        <v/>
      </c>
      <c r="BG61" s="57">
        <f>IF(W61=0,0,IF(21=CARTÕES!$F61,CARTÕES!$E61-(CARTÕES!$F61-1)*ROUND(CARTÕES!$E61/CARTÕES!$F61,0),ROUND(CARTÕES!$E61/CARTÕES!$F61,0)))</f>
        <v/>
      </c>
      <c r="BH61" s="57">
        <f>IF(X61=0,0,IF(22=CARTÕES!$F61,CARTÕES!$E61-(CARTÕES!$F61-1)*ROUND(CARTÕES!$E61/CARTÕES!$F61,0),ROUND(CARTÕES!$E61/CARTÕES!$F61,0)))</f>
        <v/>
      </c>
      <c r="BI61" s="57">
        <f>IF(Y61=0,0,IF(23=CARTÕES!$F61,CARTÕES!$E61-(CARTÕES!$F61-1)*ROUND(CARTÕES!$E61/CARTÕES!$F61,0),ROUND(CARTÕES!$E61/CARTÕES!$F61,0)))</f>
        <v/>
      </c>
      <c r="BJ61" s="57">
        <f>IF(Z61=0,0,IF(24=CARTÕES!$F61,CARTÕES!$E61-(CARTÕES!$F61-1)*ROUND(CARTÕES!$E61/CARTÕES!$F61,0),ROUND(CARTÕES!$E61/CARTÕES!$F61,0)))</f>
        <v/>
      </c>
      <c r="BK61" s="57">
        <f>IF(AA61=0,0,IF(25=CARTÕES!$F61,CARTÕES!$E61-(CARTÕES!$F61-1)*ROUND(CARTÕES!$E61/CARTÕES!$F61,0),ROUND(CARTÕES!$E61/CARTÕES!$F61,0)))</f>
        <v/>
      </c>
      <c r="BL61" s="57">
        <f>IF(AB61=0,0,IF(26=CARTÕES!$F61,CARTÕES!$E61-(CARTÕES!$F61-1)*ROUND(CARTÕES!$E61/CARTÕES!$F61,0),ROUND(CARTÕES!$E61/CARTÕES!$F61,0)))</f>
        <v/>
      </c>
      <c r="BM61" s="57">
        <f>IF(AC61=0,0,IF(27=CARTÕES!$F61,CARTÕES!$E61-(CARTÕES!$F61-1)*ROUND(CARTÕES!$E61/CARTÕES!$F61,0),ROUND(CARTÕES!$E61/CARTÕES!$F61,0)))</f>
        <v/>
      </c>
      <c r="BN61" s="57">
        <f>IF(AD61=0,0,IF(28=CARTÕES!$F61,CARTÕES!$E61-(CARTÕES!$F61-1)*ROUND(CARTÕES!$E61/CARTÕES!$F61,0),ROUND(CARTÕES!$E61/CARTÕES!$F61,0)))</f>
        <v/>
      </c>
      <c r="BO61" s="57">
        <f>IF(AE61=0,0,IF(29=CARTÕES!$F61,CARTÕES!$E61-(CARTÕES!$F61-1)*ROUND(CARTÕES!$E61/CARTÕES!$F61,0),ROUND(CARTÕES!$E61/CARTÕES!$F61,0)))</f>
        <v/>
      </c>
      <c r="BP61" s="57">
        <f>IF(AF61=0,0,IF(30=CARTÕES!$F61,CARTÕES!$E61-(CARTÕES!$F61-1)*ROUND(CARTÕES!$E61/CARTÕES!$F61,0),ROUND(CARTÕES!$E61/CARTÕES!$F61,0)))</f>
        <v/>
      </c>
      <c r="BQ61" s="57">
        <f>IF(AG61=0,0,IF(31=CARTÕES!$F61,CARTÕES!$E61-(CARTÕES!$F61-1)*ROUND(CARTÕES!$E61/CARTÕES!$F61,0),ROUND(CARTÕES!$E61/CARTÕES!$F61,0)))</f>
        <v/>
      </c>
      <c r="BR61" s="57">
        <f>IF(AH61=0,0,IF(32=CARTÕES!$F61,CARTÕES!$E61-(CARTÕES!$F61-1)*ROUND(CARTÕES!$E61/CARTÕES!$F61,0),ROUND(CARTÕES!$E61/CARTÕES!$F61,0)))</f>
        <v/>
      </c>
      <c r="BS61" s="57">
        <f>IF(AI61=0,0,IF(33=CARTÕES!$F61,CARTÕES!$E61-(CARTÕES!$F61-1)*ROUND(CARTÕES!$E61/CARTÕES!$F61,0),ROUND(CARTÕES!$E61/CARTÕES!$F61,0)))</f>
        <v/>
      </c>
      <c r="BT61" s="57">
        <f>IF(AJ61=0,0,IF(34=CARTÕES!$F61,CARTÕES!$E61-(CARTÕES!$F61-1)*ROUND(CARTÕES!$E61/CARTÕES!$F61,0),ROUND(CARTÕES!$E61/CARTÕES!$F61,0)))</f>
        <v/>
      </c>
      <c r="BU61" s="57">
        <f>IF(AK61=0,0,IF(35=CARTÕES!$F61,CARTÕES!$E61-(CARTÕES!$F61-1)*ROUND(CARTÕES!$E61/CARTÕES!$F61,0),ROUND(CARTÕES!$E61/CARTÕES!$F61,0)))</f>
        <v/>
      </c>
      <c r="BV61" s="57">
        <f>IF(AL61=0,0,IF(36=CARTÕES!$F61,CARTÕES!$E61-(CARTÕES!$F61-1)*ROUND(CARTÕES!$E61/CARTÕES!$F61,0),ROUND(CARTÕES!$E61/CARTÕES!$F61,0)))</f>
        <v/>
      </c>
    </row>
    <row r="62">
      <c r="A62" s="55">
        <f>IF(CARTÕES!$C62="","",CARTÕES!$C62)</f>
        <v/>
      </c>
      <c r="B62" s="56">
        <f>SUMPRODUCT((C62:AL62='RESUMO MENSAL'!$C$4)*AM62:BV62)</f>
        <v/>
      </c>
      <c r="C62" s="57">
        <f>IF(OR(CARTÕES!$K62=0,CARTÕES!$F62=""),0,IF(1&gt;CARTÕES!$F62,0,CARTÕES!$K62+1-1))</f>
        <v/>
      </c>
      <c r="D62" s="57">
        <f>IF(OR(CARTÕES!$K62=0,CARTÕES!$F62=""),0,IF(2&gt;CARTÕES!$F62,0,CARTÕES!$K62+2-1))</f>
        <v/>
      </c>
      <c r="E62" s="57">
        <f>IF(OR(CARTÕES!$K62=0,CARTÕES!$F62=""),0,IF(3&gt;CARTÕES!$F62,0,CARTÕES!$K62+3-1))</f>
        <v/>
      </c>
      <c r="F62" s="57">
        <f>IF(OR(CARTÕES!$K62=0,CARTÕES!$F62=""),0,IF(4&gt;CARTÕES!$F62,0,CARTÕES!$K62+4-1))</f>
        <v/>
      </c>
      <c r="G62" s="57">
        <f>IF(OR(CARTÕES!$K62=0,CARTÕES!$F62=""),0,IF(5&gt;CARTÕES!$F62,0,CARTÕES!$K62+5-1))</f>
        <v/>
      </c>
      <c r="H62" s="57">
        <f>IF(OR(CARTÕES!$K62=0,CARTÕES!$F62=""),0,IF(6&gt;CARTÕES!$F62,0,CARTÕES!$K62+6-1))</f>
        <v/>
      </c>
      <c r="I62" s="57">
        <f>IF(OR(CARTÕES!$K62=0,CARTÕES!$F62=""),0,IF(7&gt;CARTÕES!$F62,0,CARTÕES!$K62+7-1))</f>
        <v/>
      </c>
      <c r="J62" s="57">
        <f>IF(OR(CARTÕES!$K62=0,CARTÕES!$F62=""),0,IF(8&gt;CARTÕES!$F62,0,CARTÕES!$K62+8-1))</f>
        <v/>
      </c>
      <c r="K62" s="57">
        <f>IF(OR(CARTÕES!$K62=0,CARTÕES!$F62=""),0,IF(9&gt;CARTÕES!$F62,0,CARTÕES!$K62+9-1))</f>
        <v/>
      </c>
      <c r="L62" s="57">
        <f>IF(OR(CARTÕES!$K62=0,CARTÕES!$F62=""),0,IF(10&gt;CARTÕES!$F62,0,CARTÕES!$K62+10-1))</f>
        <v/>
      </c>
      <c r="M62" s="57">
        <f>IF(OR(CARTÕES!$K62=0,CARTÕES!$F62=""),0,IF(11&gt;CARTÕES!$F62,0,CARTÕES!$K62+11-1))</f>
        <v/>
      </c>
      <c r="N62" s="57">
        <f>IF(OR(CARTÕES!$K62=0,CARTÕES!$F62=""),0,IF(12&gt;CARTÕES!$F62,0,CARTÕES!$K62+12-1))</f>
        <v/>
      </c>
      <c r="O62" s="57">
        <f>IF(OR(CARTÕES!$K62=0,CARTÕES!$F62=""),0,IF(13&gt;CARTÕES!$F62,0,CARTÕES!$K62+13-1))</f>
        <v/>
      </c>
      <c r="P62" s="57">
        <f>IF(OR(CARTÕES!$K62=0,CARTÕES!$F62=""),0,IF(14&gt;CARTÕES!$F62,0,CARTÕES!$K62+14-1))</f>
        <v/>
      </c>
      <c r="Q62" s="57">
        <f>IF(OR(CARTÕES!$K62=0,CARTÕES!$F62=""),0,IF(15&gt;CARTÕES!$F62,0,CARTÕES!$K62+15-1))</f>
        <v/>
      </c>
      <c r="R62" s="57">
        <f>IF(OR(CARTÕES!$K62=0,CARTÕES!$F62=""),0,IF(16&gt;CARTÕES!$F62,0,CARTÕES!$K62+16-1))</f>
        <v/>
      </c>
      <c r="S62" s="57">
        <f>IF(OR(CARTÕES!$K62=0,CARTÕES!$F62=""),0,IF(17&gt;CARTÕES!$F62,0,CARTÕES!$K62+17-1))</f>
        <v/>
      </c>
      <c r="T62" s="57">
        <f>IF(OR(CARTÕES!$K62=0,CARTÕES!$F62=""),0,IF(18&gt;CARTÕES!$F62,0,CARTÕES!$K62+18-1))</f>
        <v/>
      </c>
      <c r="U62" s="57">
        <f>IF(OR(CARTÕES!$K62=0,CARTÕES!$F62=""),0,IF(19&gt;CARTÕES!$F62,0,CARTÕES!$K62+19-1))</f>
        <v/>
      </c>
      <c r="V62" s="57">
        <f>IF(OR(CARTÕES!$K62=0,CARTÕES!$F62=""),0,IF(20&gt;CARTÕES!$F62,0,CARTÕES!$K62+20-1))</f>
        <v/>
      </c>
      <c r="W62" s="57">
        <f>IF(OR(CARTÕES!$K62=0,CARTÕES!$F62=""),0,IF(21&gt;CARTÕES!$F62,0,CARTÕES!$K62+21-1))</f>
        <v/>
      </c>
      <c r="X62" s="57">
        <f>IF(OR(CARTÕES!$K62=0,CARTÕES!$F62=""),0,IF(22&gt;CARTÕES!$F62,0,CARTÕES!$K62+22-1))</f>
        <v/>
      </c>
      <c r="Y62" s="57">
        <f>IF(OR(CARTÕES!$K62=0,CARTÕES!$F62=""),0,IF(23&gt;CARTÕES!$F62,0,CARTÕES!$K62+23-1))</f>
        <v/>
      </c>
      <c r="Z62" s="57">
        <f>IF(OR(CARTÕES!$K62=0,CARTÕES!$F62=""),0,IF(24&gt;CARTÕES!$F62,0,CARTÕES!$K62+24-1))</f>
        <v/>
      </c>
      <c r="AA62" s="57">
        <f>IF(OR(CARTÕES!$K62=0,CARTÕES!$F62=""),0,IF(25&gt;CARTÕES!$F62,0,CARTÕES!$K62+25-1))</f>
        <v/>
      </c>
      <c r="AB62" s="57">
        <f>IF(OR(CARTÕES!$K62=0,CARTÕES!$F62=""),0,IF(26&gt;CARTÕES!$F62,0,CARTÕES!$K62+26-1))</f>
        <v/>
      </c>
      <c r="AC62" s="57">
        <f>IF(OR(CARTÕES!$K62=0,CARTÕES!$F62=""),0,IF(27&gt;CARTÕES!$F62,0,CARTÕES!$K62+27-1))</f>
        <v/>
      </c>
      <c r="AD62" s="57">
        <f>IF(OR(CARTÕES!$K62=0,CARTÕES!$F62=""),0,IF(28&gt;CARTÕES!$F62,0,CARTÕES!$K62+28-1))</f>
        <v/>
      </c>
      <c r="AE62" s="57">
        <f>IF(OR(CARTÕES!$K62=0,CARTÕES!$F62=""),0,IF(29&gt;CARTÕES!$F62,0,CARTÕES!$K62+29-1))</f>
        <v/>
      </c>
      <c r="AF62" s="57">
        <f>IF(OR(CARTÕES!$K62=0,CARTÕES!$F62=""),0,IF(30&gt;CARTÕES!$F62,0,CARTÕES!$K62+30-1))</f>
        <v/>
      </c>
      <c r="AG62" s="57">
        <f>IF(OR(CARTÕES!$K62=0,CARTÕES!$F62=""),0,IF(31&gt;CARTÕES!$F62,0,CARTÕES!$K62+31-1))</f>
        <v/>
      </c>
      <c r="AH62" s="57">
        <f>IF(OR(CARTÕES!$K62=0,CARTÕES!$F62=""),0,IF(32&gt;CARTÕES!$F62,0,CARTÕES!$K62+32-1))</f>
        <v/>
      </c>
      <c r="AI62" s="57">
        <f>IF(OR(CARTÕES!$K62=0,CARTÕES!$F62=""),0,IF(33&gt;CARTÕES!$F62,0,CARTÕES!$K62+33-1))</f>
        <v/>
      </c>
      <c r="AJ62" s="57">
        <f>IF(OR(CARTÕES!$K62=0,CARTÕES!$F62=""),0,IF(34&gt;CARTÕES!$F62,0,CARTÕES!$K62+34-1))</f>
        <v/>
      </c>
      <c r="AK62" s="57">
        <f>IF(OR(CARTÕES!$K62=0,CARTÕES!$F62=""),0,IF(35&gt;CARTÕES!$F62,0,CARTÕES!$K62+35-1))</f>
        <v/>
      </c>
      <c r="AL62" s="57">
        <f>IF(OR(CARTÕES!$K62=0,CARTÕES!$F62=""),0,IF(36&gt;CARTÕES!$F62,0,CARTÕES!$K62+36-1))</f>
        <v/>
      </c>
      <c r="AM62" s="57">
        <f>IF(C62=0,0,IF(1=CARTÕES!$F62,CARTÕES!$E62-(CARTÕES!$F62-1)*ROUND(CARTÕES!$E62/CARTÕES!$F62,0),ROUND(CARTÕES!$E62/CARTÕES!$F62,0)))</f>
        <v/>
      </c>
      <c r="AN62" s="57">
        <f>IF(D62=0,0,IF(2=CARTÕES!$F62,CARTÕES!$E62-(CARTÕES!$F62-1)*ROUND(CARTÕES!$E62/CARTÕES!$F62,0),ROUND(CARTÕES!$E62/CARTÕES!$F62,0)))</f>
        <v/>
      </c>
      <c r="AO62" s="57">
        <f>IF(E62=0,0,IF(3=CARTÕES!$F62,CARTÕES!$E62-(CARTÕES!$F62-1)*ROUND(CARTÕES!$E62/CARTÕES!$F62,0),ROUND(CARTÕES!$E62/CARTÕES!$F62,0)))</f>
        <v/>
      </c>
      <c r="AP62" s="57">
        <f>IF(F62=0,0,IF(4=CARTÕES!$F62,CARTÕES!$E62-(CARTÕES!$F62-1)*ROUND(CARTÕES!$E62/CARTÕES!$F62,0),ROUND(CARTÕES!$E62/CARTÕES!$F62,0)))</f>
        <v/>
      </c>
      <c r="AQ62" s="57">
        <f>IF(G62=0,0,IF(5=CARTÕES!$F62,CARTÕES!$E62-(CARTÕES!$F62-1)*ROUND(CARTÕES!$E62/CARTÕES!$F62,0),ROUND(CARTÕES!$E62/CARTÕES!$F62,0)))</f>
        <v/>
      </c>
      <c r="AR62" s="57">
        <f>IF(H62=0,0,IF(6=CARTÕES!$F62,CARTÕES!$E62-(CARTÕES!$F62-1)*ROUND(CARTÕES!$E62/CARTÕES!$F62,0),ROUND(CARTÕES!$E62/CARTÕES!$F62,0)))</f>
        <v/>
      </c>
      <c r="AS62" s="57">
        <f>IF(I62=0,0,IF(7=CARTÕES!$F62,CARTÕES!$E62-(CARTÕES!$F62-1)*ROUND(CARTÕES!$E62/CARTÕES!$F62,0),ROUND(CARTÕES!$E62/CARTÕES!$F62,0)))</f>
        <v/>
      </c>
      <c r="AT62" s="57">
        <f>IF(J62=0,0,IF(8=CARTÕES!$F62,CARTÕES!$E62-(CARTÕES!$F62-1)*ROUND(CARTÕES!$E62/CARTÕES!$F62,0),ROUND(CARTÕES!$E62/CARTÕES!$F62,0)))</f>
        <v/>
      </c>
      <c r="AU62" s="57">
        <f>IF(K62=0,0,IF(9=CARTÕES!$F62,CARTÕES!$E62-(CARTÕES!$F62-1)*ROUND(CARTÕES!$E62/CARTÕES!$F62,0),ROUND(CARTÕES!$E62/CARTÕES!$F62,0)))</f>
        <v/>
      </c>
      <c r="AV62" s="57">
        <f>IF(L62=0,0,IF(10=CARTÕES!$F62,CARTÕES!$E62-(CARTÕES!$F62-1)*ROUND(CARTÕES!$E62/CARTÕES!$F62,0),ROUND(CARTÕES!$E62/CARTÕES!$F62,0)))</f>
        <v/>
      </c>
      <c r="AW62" s="57">
        <f>IF(M62=0,0,IF(11=CARTÕES!$F62,CARTÕES!$E62-(CARTÕES!$F62-1)*ROUND(CARTÕES!$E62/CARTÕES!$F62,0),ROUND(CARTÕES!$E62/CARTÕES!$F62,0)))</f>
        <v/>
      </c>
      <c r="AX62" s="57">
        <f>IF(N62=0,0,IF(12=CARTÕES!$F62,CARTÕES!$E62-(CARTÕES!$F62-1)*ROUND(CARTÕES!$E62/CARTÕES!$F62,0),ROUND(CARTÕES!$E62/CARTÕES!$F62,0)))</f>
        <v/>
      </c>
      <c r="AY62" s="57">
        <f>IF(O62=0,0,IF(13=CARTÕES!$F62,CARTÕES!$E62-(CARTÕES!$F62-1)*ROUND(CARTÕES!$E62/CARTÕES!$F62,0),ROUND(CARTÕES!$E62/CARTÕES!$F62,0)))</f>
        <v/>
      </c>
      <c r="AZ62" s="57">
        <f>IF(P62=0,0,IF(14=CARTÕES!$F62,CARTÕES!$E62-(CARTÕES!$F62-1)*ROUND(CARTÕES!$E62/CARTÕES!$F62,0),ROUND(CARTÕES!$E62/CARTÕES!$F62,0)))</f>
        <v/>
      </c>
      <c r="BA62" s="57">
        <f>IF(Q62=0,0,IF(15=CARTÕES!$F62,CARTÕES!$E62-(CARTÕES!$F62-1)*ROUND(CARTÕES!$E62/CARTÕES!$F62,0),ROUND(CARTÕES!$E62/CARTÕES!$F62,0)))</f>
        <v/>
      </c>
      <c r="BB62" s="57">
        <f>IF(R62=0,0,IF(16=CARTÕES!$F62,CARTÕES!$E62-(CARTÕES!$F62-1)*ROUND(CARTÕES!$E62/CARTÕES!$F62,0),ROUND(CARTÕES!$E62/CARTÕES!$F62,0)))</f>
        <v/>
      </c>
      <c r="BC62" s="57">
        <f>IF(S62=0,0,IF(17=CARTÕES!$F62,CARTÕES!$E62-(CARTÕES!$F62-1)*ROUND(CARTÕES!$E62/CARTÕES!$F62,0),ROUND(CARTÕES!$E62/CARTÕES!$F62,0)))</f>
        <v/>
      </c>
      <c r="BD62" s="57">
        <f>IF(T62=0,0,IF(18=CARTÕES!$F62,CARTÕES!$E62-(CARTÕES!$F62-1)*ROUND(CARTÕES!$E62/CARTÕES!$F62,0),ROUND(CARTÕES!$E62/CARTÕES!$F62,0)))</f>
        <v/>
      </c>
      <c r="BE62" s="57">
        <f>IF(U62=0,0,IF(19=CARTÕES!$F62,CARTÕES!$E62-(CARTÕES!$F62-1)*ROUND(CARTÕES!$E62/CARTÕES!$F62,0),ROUND(CARTÕES!$E62/CARTÕES!$F62,0)))</f>
        <v/>
      </c>
      <c r="BF62" s="57">
        <f>IF(V62=0,0,IF(20=CARTÕES!$F62,CARTÕES!$E62-(CARTÕES!$F62-1)*ROUND(CARTÕES!$E62/CARTÕES!$F62,0),ROUND(CARTÕES!$E62/CARTÕES!$F62,0)))</f>
        <v/>
      </c>
      <c r="BG62" s="57">
        <f>IF(W62=0,0,IF(21=CARTÕES!$F62,CARTÕES!$E62-(CARTÕES!$F62-1)*ROUND(CARTÕES!$E62/CARTÕES!$F62,0),ROUND(CARTÕES!$E62/CARTÕES!$F62,0)))</f>
        <v/>
      </c>
      <c r="BH62" s="57">
        <f>IF(X62=0,0,IF(22=CARTÕES!$F62,CARTÕES!$E62-(CARTÕES!$F62-1)*ROUND(CARTÕES!$E62/CARTÕES!$F62,0),ROUND(CARTÕES!$E62/CARTÕES!$F62,0)))</f>
        <v/>
      </c>
      <c r="BI62" s="57">
        <f>IF(Y62=0,0,IF(23=CARTÕES!$F62,CARTÕES!$E62-(CARTÕES!$F62-1)*ROUND(CARTÕES!$E62/CARTÕES!$F62,0),ROUND(CARTÕES!$E62/CARTÕES!$F62,0)))</f>
        <v/>
      </c>
      <c r="BJ62" s="57">
        <f>IF(Z62=0,0,IF(24=CARTÕES!$F62,CARTÕES!$E62-(CARTÕES!$F62-1)*ROUND(CARTÕES!$E62/CARTÕES!$F62,0),ROUND(CARTÕES!$E62/CARTÕES!$F62,0)))</f>
        <v/>
      </c>
      <c r="BK62" s="57">
        <f>IF(AA62=0,0,IF(25=CARTÕES!$F62,CARTÕES!$E62-(CARTÕES!$F62-1)*ROUND(CARTÕES!$E62/CARTÕES!$F62,0),ROUND(CARTÕES!$E62/CARTÕES!$F62,0)))</f>
        <v/>
      </c>
      <c r="BL62" s="57">
        <f>IF(AB62=0,0,IF(26=CARTÕES!$F62,CARTÕES!$E62-(CARTÕES!$F62-1)*ROUND(CARTÕES!$E62/CARTÕES!$F62,0),ROUND(CARTÕES!$E62/CARTÕES!$F62,0)))</f>
        <v/>
      </c>
      <c r="BM62" s="57">
        <f>IF(AC62=0,0,IF(27=CARTÕES!$F62,CARTÕES!$E62-(CARTÕES!$F62-1)*ROUND(CARTÕES!$E62/CARTÕES!$F62,0),ROUND(CARTÕES!$E62/CARTÕES!$F62,0)))</f>
        <v/>
      </c>
      <c r="BN62" s="57">
        <f>IF(AD62=0,0,IF(28=CARTÕES!$F62,CARTÕES!$E62-(CARTÕES!$F62-1)*ROUND(CARTÕES!$E62/CARTÕES!$F62,0),ROUND(CARTÕES!$E62/CARTÕES!$F62,0)))</f>
        <v/>
      </c>
      <c r="BO62" s="57">
        <f>IF(AE62=0,0,IF(29=CARTÕES!$F62,CARTÕES!$E62-(CARTÕES!$F62-1)*ROUND(CARTÕES!$E62/CARTÕES!$F62,0),ROUND(CARTÕES!$E62/CARTÕES!$F62,0)))</f>
        <v/>
      </c>
      <c r="BP62" s="57">
        <f>IF(AF62=0,0,IF(30=CARTÕES!$F62,CARTÕES!$E62-(CARTÕES!$F62-1)*ROUND(CARTÕES!$E62/CARTÕES!$F62,0),ROUND(CARTÕES!$E62/CARTÕES!$F62,0)))</f>
        <v/>
      </c>
      <c r="BQ62" s="57">
        <f>IF(AG62=0,0,IF(31=CARTÕES!$F62,CARTÕES!$E62-(CARTÕES!$F62-1)*ROUND(CARTÕES!$E62/CARTÕES!$F62,0),ROUND(CARTÕES!$E62/CARTÕES!$F62,0)))</f>
        <v/>
      </c>
      <c r="BR62" s="57">
        <f>IF(AH62=0,0,IF(32=CARTÕES!$F62,CARTÕES!$E62-(CARTÕES!$F62-1)*ROUND(CARTÕES!$E62/CARTÕES!$F62,0),ROUND(CARTÕES!$E62/CARTÕES!$F62,0)))</f>
        <v/>
      </c>
      <c r="BS62" s="57">
        <f>IF(AI62=0,0,IF(33=CARTÕES!$F62,CARTÕES!$E62-(CARTÕES!$F62-1)*ROUND(CARTÕES!$E62/CARTÕES!$F62,0),ROUND(CARTÕES!$E62/CARTÕES!$F62,0)))</f>
        <v/>
      </c>
      <c r="BT62" s="57">
        <f>IF(AJ62=0,0,IF(34=CARTÕES!$F62,CARTÕES!$E62-(CARTÕES!$F62-1)*ROUND(CARTÕES!$E62/CARTÕES!$F62,0),ROUND(CARTÕES!$E62/CARTÕES!$F62,0)))</f>
        <v/>
      </c>
      <c r="BU62" s="57">
        <f>IF(AK62=0,0,IF(35=CARTÕES!$F62,CARTÕES!$E62-(CARTÕES!$F62-1)*ROUND(CARTÕES!$E62/CARTÕES!$F62,0),ROUND(CARTÕES!$E62/CARTÕES!$F62,0)))</f>
        <v/>
      </c>
      <c r="BV62" s="57">
        <f>IF(AL62=0,0,IF(36=CARTÕES!$F62,CARTÕES!$E62-(CARTÕES!$F62-1)*ROUND(CARTÕES!$E62/CARTÕES!$F62,0),ROUND(CARTÕES!$E62/CARTÕES!$F62,0)))</f>
        <v/>
      </c>
    </row>
    <row r="63">
      <c r="A63" s="55">
        <f>IF(CARTÕES!$C63="","",CARTÕES!$C63)</f>
        <v/>
      </c>
      <c r="B63" s="56">
        <f>SUMPRODUCT((C63:AL63='RESUMO MENSAL'!$C$4)*AM63:BV63)</f>
        <v/>
      </c>
      <c r="C63" s="57">
        <f>IF(OR(CARTÕES!$K63=0,CARTÕES!$F63=""),0,IF(1&gt;CARTÕES!$F63,0,CARTÕES!$K63+1-1))</f>
        <v/>
      </c>
      <c r="D63" s="57">
        <f>IF(OR(CARTÕES!$K63=0,CARTÕES!$F63=""),0,IF(2&gt;CARTÕES!$F63,0,CARTÕES!$K63+2-1))</f>
        <v/>
      </c>
      <c r="E63" s="57">
        <f>IF(OR(CARTÕES!$K63=0,CARTÕES!$F63=""),0,IF(3&gt;CARTÕES!$F63,0,CARTÕES!$K63+3-1))</f>
        <v/>
      </c>
      <c r="F63" s="57">
        <f>IF(OR(CARTÕES!$K63=0,CARTÕES!$F63=""),0,IF(4&gt;CARTÕES!$F63,0,CARTÕES!$K63+4-1))</f>
        <v/>
      </c>
      <c r="G63" s="57">
        <f>IF(OR(CARTÕES!$K63=0,CARTÕES!$F63=""),0,IF(5&gt;CARTÕES!$F63,0,CARTÕES!$K63+5-1))</f>
        <v/>
      </c>
      <c r="H63" s="57">
        <f>IF(OR(CARTÕES!$K63=0,CARTÕES!$F63=""),0,IF(6&gt;CARTÕES!$F63,0,CARTÕES!$K63+6-1))</f>
        <v/>
      </c>
      <c r="I63" s="57">
        <f>IF(OR(CARTÕES!$K63=0,CARTÕES!$F63=""),0,IF(7&gt;CARTÕES!$F63,0,CARTÕES!$K63+7-1))</f>
        <v/>
      </c>
      <c r="J63" s="57">
        <f>IF(OR(CARTÕES!$K63=0,CARTÕES!$F63=""),0,IF(8&gt;CARTÕES!$F63,0,CARTÕES!$K63+8-1))</f>
        <v/>
      </c>
      <c r="K63" s="57">
        <f>IF(OR(CARTÕES!$K63=0,CARTÕES!$F63=""),0,IF(9&gt;CARTÕES!$F63,0,CARTÕES!$K63+9-1))</f>
        <v/>
      </c>
      <c r="L63" s="57">
        <f>IF(OR(CARTÕES!$K63=0,CARTÕES!$F63=""),0,IF(10&gt;CARTÕES!$F63,0,CARTÕES!$K63+10-1))</f>
        <v/>
      </c>
      <c r="M63" s="57">
        <f>IF(OR(CARTÕES!$K63=0,CARTÕES!$F63=""),0,IF(11&gt;CARTÕES!$F63,0,CARTÕES!$K63+11-1))</f>
        <v/>
      </c>
      <c r="N63" s="57">
        <f>IF(OR(CARTÕES!$K63=0,CARTÕES!$F63=""),0,IF(12&gt;CARTÕES!$F63,0,CARTÕES!$K63+12-1))</f>
        <v/>
      </c>
      <c r="O63" s="57">
        <f>IF(OR(CARTÕES!$K63=0,CARTÕES!$F63=""),0,IF(13&gt;CARTÕES!$F63,0,CARTÕES!$K63+13-1))</f>
        <v/>
      </c>
      <c r="P63" s="57">
        <f>IF(OR(CARTÕES!$K63=0,CARTÕES!$F63=""),0,IF(14&gt;CARTÕES!$F63,0,CARTÕES!$K63+14-1))</f>
        <v/>
      </c>
      <c r="Q63" s="57">
        <f>IF(OR(CARTÕES!$K63=0,CARTÕES!$F63=""),0,IF(15&gt;CARTÕES!$F63,0,CARTÕES!$K63+15-1))</f>
        <v/>
      </c>
      <c r="R63" s="57">
        <f>IF(OR(CARTÕES!$K63=0,CARTÕES!$F63=""),0,IF(16&gt;CARTÕES!$F63,0,CARTÕES!$K63+16-1))</f>
        <v/>
      </c>
      <c r="S63" s="57">
        <f>IF(OR(CARTÕES!$K63=0,CARTÕES!$F63=""),0,IF(17&gt;CARTÕES!$F63,0,CARTÕES!$K63+17-1))</f>
        <v/>
      </c>
      <c r="T63" s="57">
        <f>IF(OR(CARTÕES!$K63=0,CARTÕES!$F63=""),0,IF(18&gt;CARTÕES!$F63,0,CARTÕES!$K63+18-1))</f>
        <v/>
      </c>
      <c r="U63" s="57">
        <f>IF(OR(CARTÕES!$K63=0,CARTÕES!$F63=""),0,IF(19&gt;CARTÕES!$F63,0,CARTÕES!$K63+19-1))</f>
        <v/>
      </c>
      <c r="V63" s="57">
        <f>IF(OR(CARTÕES!$K63=0,CARTÕES!$F63=""),0,IF(20&gt;CARTÕES!$F63,0,CARTÕES!$K63+20-1))</f>
        <v/>
      </c>
      <c r="W63" s="57">
        <f>IF(OR(CARTÕES!$K63=0,CARTÕES!$F63=""),0,IF(21&gt;CARTÕES!$F63,0,CARTÕES!$K63+21-1))</f>
        <v/>
      </c>
      <c r="X63" s="57">
        <f>IF(OR(CARTÕES!$K63=0,CARTÕES!$F63=""),0,IF(22&gt;CARTÕES!$F63,0,CARTÕES!$K63+22-1))</f>
        <v/>
      </c>
      <c r="Y63" s="57">
        <f>IF(OR(CARTÕES!$K63=0,CARTÕES!$F63=""),0,IF(23&gt;CARTÕES!$F63,0,CARTÕES!$K63+23-1))</f>
        <v/>
      </c>
      <c r="Z63" s="57">
        <f>IF(OR(CARTÕES!$K63=0,CARTÕES!$F63=""),0,IF(24&gt;CARTÕES!$F63,0,CARTÕES!$K63+24-1))</f>
        <v/>
      </c>
      <c r="AA63" s="57">
        <f>IF(OR(CARTÕES!$K63=0,CARTÕES!$F63=""),0,IF(25&gt;CARTÕES!$F63,0,CARTÕES!$K63+25-1))</f>
        <v/>
      </c>
      <c r="AB63" s="57">
        <f>IF(OR(CARTÕES!$K63=0,CARTÕES!$F63=""),0,IF(26&gt;CARTÕES!$F63,0,CARTÕES!$K63+26-1))</f>
        <v/>
      </c>
      <c r="AC63" s="57">
        <f>IF(OR(CARTÕES!$K63=0,CARTÕES!$F63=""),0,IF(27&gt;CARTÕES!$F63,0,CARTÕES!$K63+27-1))</f>
        <v/>
      </c>
      <c r="AD63" s="57">
        <f>IF(OR(CARTÕES!$K63=0,CARTÕES!$F63=""),0,IF(28&gt;CARTÕES!$F63,0,CARTÕES!$K63+28-1))</f>
        <v/>
      </c>
      <c r="AE63" s="57">
        <f>IF(OR(CARTÕES!$K63=0,CARTÕES!$F63=""),0,IF(29&gt;CARTÕES!$F63,0,CARTÕES!$K63+29-1))</f>
        <v/>
      </c>
      <c r="AF63" s="57">
        <f>IF(OR(CARTÕES!$K63=0,CARTÕES!$F63=""),0,IF(30&gt;CARTÕES!$F63,0,CARTÕES!$K63+30-1))</f>
        <v/>
      </c>
      <c r="AG63" s="57">
        <f>IF(OR(CARTÕES!$K63=0,CARTÕES!$F63=""),0,IF(31&gt;CARTÕES!$F63,0,CARTÕES!$K63+31-1))</f>
        <v/>
      </c>
      <c r="AH63" s="57">
        <f>IF(OR(CARTÕES!$K63=0,CARTÕES!$F63=""),0,IF(32&gt;CARTÕES!$F63,0,CARTÕES!$K63+32-1))</f>
        <v/>
      </c>
      <c r="AI63" s="57">
        <f>IF(OR(CARTÕES!$K63=0,CARTÕES!$F63=""),0,IF(33&gt;CARTÕES!$F63,0,CARTÕES!$K63+33-1))</f>
        <v/>
      </c>
      <c r="AJ63" s="57">
        <f>IF(OR(CARTÕES!$K63=0,CARTÕES!$F63=""),0,IF(34&gt;CARTÕES!$F63,0,CARTÕES!$K63+34-1))</f>
        <v/>
      </c>
      <c r="AK63" s="57">
        <f>IF(OR(CARTÕES!$K63=0,CARTÕES!$F63=""),0,IF(35&gt;CARTÕES!$F63,0,CARTÕES!$K63+35-1))</f>
        <v/>
      </c>
      <c r="AL63" s="57">
        <f>IF(OR(CARTÕES!$K63=0,CARTÕES!$F63=""),0,IF(36&gt;CARTÕES!$F63,0,CARTÕES!$K63+36-1))</f>
        <v/>
      </c>
      <c r="AM63" s="57">
        <f>IF(C63=0,0,IF(1=CARTÕES!$F63,CARTÕES!$E63-(CARTÕES!$F63-1)*ROUND(CARTÕES!$E63/CARTÕES!$F63,0),ROUND(CARTÕES!$E63/CARTÕES!$F63,0)))</f>
        <v/>
      </c>
      <c r="AN63" s="57">
        <f>IF(D63=0,0,IF(2=CARTÕES!$F63,CARTÕES!$E63-(CARTÕES!$F63-1)*ROUND(CARTÕES!$E63/CARTÕES!$F63,0),ROUND(CARTÕES!$E63/CARTÕES!$F63,0)))</f>
        <v/>
      </c>
      <c r="AO63" s="57">
        <f>IF(E63=0,0,IF(3=CARTÕES!$F63,CARTÕES!$E63-(CARTÕES!$F63-1)*ROUND(CARTÕES!$E63/CARTÕES!$F63,0),ROUND(CARTÕES!$E63/CARTÕES!$F63,0)))</f>
        <v/>
      </c>
      <c r="AP63" s="57">
        <f>IF(F63=0,0,IF(4=CARTÕES!$F63,CARTÕES!$E63-(CARTÕES!$F63-1)*ROUND(CARTÕES!$E63/CARTÕES!$F63,0),ROUND(CARTÕES!$E63/CARTÕES!$F63,0)))</f>
        <v/>
      </c>
      <c r="AQ63" s="57">
        <f>IF(G63=0,0,IF(5=CARTÕES!$F63,CARTÕES!$E63-(CARTÕES!$F63-1)*ROUND(CARTÕES!$E63/CARTÕES!$F63,0),ROUND(CARTÕES!$E63/CARTÕES!$F63,0)))</f>
        <v/>
      </c>
      <c r="AR63" s="57">
        <f>IF(H63=0,0,IF(6=CARTÕES!$F63,CARTÕES!$E63-(CARTÕES!$F63-1)*ROUND(CARTÕES!$E63/CARTÕES!$F63,0),ROUND(CARTÕES!$E63/CARTÕES!$F63,0)))</f>
        <v/>
      </c>
      <c r="AS63" s="57">
        <f>IF(I63=0,0,IF(7=CARTÕES!$F63,CARTÕES!$E63-(CARTÕES!$F63-1)*ROUND(CARTÕES!$E63/CARTÕES!$F63,0),ROUND(CARTÕES!$E63/CARTÕES!$F63,0)))</f>
        <v/>
      </c>
      <c r="AT63" s="57">
        <f>IF(J63=0,0,IF(8=CARTÕES!$F63,CARTÕES!$E63-(CARTÕES!$F63-1)*ROUND(CARTÕES!$E63/CARTÕES!$F63,0),ROUND(CARTÕES!$E63/CARTÕES!$F63,0)))</f>
        <v/>
      </c>
      <c r="AU63" s="57">
        <f>IF(K63=0,0,IF(9=CARTÕES!$F63,CARTÕES!$E63-(CARTÕES!$F63-1)*ROUND(CARTÕES!$E63/CARTÕES!$F63,0),ROUND(CARTÕES!$E63/CARTÕES!$F63,0)))</f>
        <v/>
      </c>
      <c r="AV63" s="57">
        <f>IF(L63=0,0,IF(10=CARTÕES!$F63,CARTÕES!$E63-(CARTÕES!$F63-1)*ROUND(CARTÕES!$E63/CARTÕES!$F63,0),ROUND(CARTÕES!$E63/CARTÕES!$F63,0)))</f>
        <v/>
      </c>
      <c r="AW63" s="57">
        <f>IF(M63=0,0,IF(11=CARTÕES!$F63,CARTÕES!$E63-(CARTÕES!$F63-1)*ROUND(CARTÕES!$E63/CARTÕES!$F63,0),ROUND(CARTÕES!$E63/CARTÕES!$F63,0)))</f>
        <v/>
      </c>
      <c r="AX63" s="57">
        <f>IF(N63=0,0,IF(12=CARTÕES!$F63,CARTÕES!$E63-(CARTÕES!$F63-1)*ROUND(CARTÕES!$E63/CARTÕES!$F63,0),ROUND(CARTÕES!$E63/CARTÕES!$F63,0)))</f>
        <v/>
      </c>
      <c r="AY63" s="57">
        <f>IF(O63=0,0,IF(13=CARTÕES!$F63,CARTÕES!$E63-(CARTÕES!$F63-1)*ROUND(CARTÕES!$E63/CARTÕES!$F63,0),ROUND(CARTÕES!$E63/CARTÕES!$F63,0)))</f>
        <v/>
      </c>
      <c r="AZ63" s="57">
        <f>IF(P63=0,0,IF(14=CARTÕES!$F63,CARTÕES!$E63-(CARTÕES!$F63-1)*ROUND(CARTÕES!$E63/CARTÕES!$F63,0),ROUND(CARTÕES!$E63/CARTÕES!$F63,0)))</f>
        <v/>
      </c>
      <c r="BA63" s="57">
        <f>IF(Q63=0,0,IF(15=CARTÕES!$F63,CARTÕES!$E63-(CARTÕES!$F63-1)*ROUND(CARTÕES!$E63/CARTÕES!$F63,0),ROUND(CARTÕES!$E63/CARTÕES!$F63,0)))</f>
        <v/>
      </c>
      <c r="BB63" s="57">
        <f>IF(R63=0,0,IF(16=CARTÕES!$F63,CARTÕES!$E63-(CARTÕES!$F63-1)*ROUND(CARTÕES!$E63/CARTÕES!$F63,0),ROUND(CARTÕES!$E63/CARTÕES!$F63,0)))</f>
        <v/>
      </c>
      <c r="BC63" s="57">
        <f>IF(S63=0,0,IF(17=CARTÕES!$F63,CARTÕES!$E63-(CARTÕES!$F63-1)*ROUND(CARTÕES!$E63/CARTÕES!$F63,0),ROUND(CARTÕES!$E63/CARTÕES!$F63,0)))</f>
        <v/>
      </c>
      <c r="BD63" s="57">
        <f>IF(T63=0,0,IF(18=CARTÕES!$F63,CARTÕES!$E63-(CARTÕES!$F63-1)*ROUND(CARTÕES!$E63/CARTÕES!$F63,0),ROUND(CARTÕES!$E63/CARTÕES!$F63,0)))</f>
        <v/>
      </c>
      <c r="BE63" s="57">
        <f>IF(U63=0,0,IF(19=CARTÕES!$F63,CARTÕES!$E63-(CARTÕES!$F63-1)*ROUND(CARTÕES!$E63/CARTÕES!$F63,0),ROUND(CARTÕES!$E63/CARTÕES!$F63,0)))</f>
        <v/>
      </c>
      <c r="BF63" s="57">
        <f>IF(V63=0,0,IF(20=CARTÕES!$F63,CARTÕES!$E63-(CARTÕES!$F63-1)*ROUND(CARTÕES!$E63/CARTÕES!$F63,0),ROUND(CARTÕES!$E63/CARTÕES!$F63,0)))</f>
        <v/>
      </c>
      <c r="BG63" s="57">
        <f>IF(W63=0,0,IF(21=CARTÕES!$F63,CARTÕES!$E63-(CARTÕES!$F63-1)*ROUND(CARTÕES!$E63/CARTÕES!$F63,0),ROUND(CARTÕES!$E63/CARTÕES!$F63,0)))</f>
        <v/>
      </c>
      <c r="BH63" s="57">
        <f>IF(X63=0,0,IF(22=CARTÕES!$F63,CARTÕES!$E63-(CARTÕES!$F63-1)*ROUND(CARTÕES!$E63/CARTÕES!$F63,0),ROUND(CARTÕES!$E63/CARTÕES!$F63,0)))</f>
        <v/>
      </c>
      <c r="BI63" s="57">
        <f>IF(Y63=0,0,IF(23=CARTÕES!$F63,CARTÕES!$E63-(CARTÕES!$F63-1)*ROUND(CARTÕES!$E63/CARTÕES!$F63,0),ROUND(CARTÕES!$E63/CARTÕES!$F63,0)))</f>
        <v/>
      </c>
      <c r="BJ63" s="57">
        <f>IF(Z63=0,0,IF(24=CARTÕES!$F63,CARTÕES!$E63-(CARTÕES!$F63-1)*ROUND(CARTÕES!$E63/CARTÕES!$F63,0),ROUND(CARTÕES!$E63/CARTÕES!$F63,0)))</f>
        <v/>
      </c>
      <c r="BK63" s="57">
        <f>IF(AA63=0,0,IF(25=CARTÕES!$F63,CARTÕES!$E63-(CARTÕES!$F63-1)*ROUND(CARTÕES!$E63/CARTÕES!$F63,0),ROUND(CARTÕES!$E63/CARTÕES!$F63,0)))</f>
        <v/>
      </c>
      <c r="BL63" s="57">
        <f>IF(AB63=0,0,IF(26=CARTÕES!$F63,CARTÕES!$E63-(CARTÕES!$F63-1)*ROUND(CARTÕES!$E63/CARTÕES!$F63,0),ROUND(CARTÕES!$E63/CARTÕES!$F63,0)))</f>
        <v/>
      </c>
      <c r="BM63" s="57">
        <f>IF(AC63=0,0,IF(27=CARTÕES!$F63,CARTÕES!$E63-(CARTÕES!$F63-1)*ROUND(CARTÕES!$E63/CARTÕES!$F63,0),ROUND(CARTÕES!$E63/CARTÕES!$F63,0)))</f>
        <v/>
      </c>
      <c r="BN63" s="57">
        <f>IF(AD63=0,0,IF(28=CARTÕES!$F63,CARTÕES!$E63-(CARTÕES!$F63-1)*ROUND(CARTÕES!$E63/CARTÕES!$F63,0),ROUND(CARTÕES!$E63/CARTÕES!$F63,0)))</f>
        <v/>
      </c>
      <c r="BO63" s="57">
        <f>IF(AE63=0,0,IF(29=CARTÕES!$F63,CARTÕES!$E63-(CARTÕES!$F63-1)*ROUND(CARTÕES!$E63/CARTÕES!$F63,0),ROUND(CARTÕES!$E63/CARTÕES!$F63,0)))</f>
        <v/>
      </c>
      <c r="BP63" s="57">
        <f>IF(AF63=0,0,IF(30=CARTÕES!$F63,CARTÕES!$E63-(CARTÕES!$F63-1)*ROUND(CARTÕES!$E63/CARTÕES!$F63,0),ROUND(CARTÕES!$E63/CARTÕES!$F63,0)))</f>
        <v/>
      </c>
      <c r="BQ63" s="57">
        <f>IF(AG63=0,0,IF(31=CARTÕES!$F63,CARTÕES!$E63-(CARTÕES!$F63-1)*ROUND(CARTÕES!$E63/CARTÕES!$F63,0),ROUND(CARTÕES!$E63/CARTÕES!$F63,0)))</f>
        <v/>
      </c>
      <c r="BR63" s="57">
        <f>IF(AH63=0,0,IF(32=CARTÕES!$F63,CARTÕES!$E63-(CARTÕES!$F63-1)*ROUND(CARTÕES!$E63/CARTÕES!$F63,0),ROUND(CARTÕES!$E63/CARTÕES!$F63,0)))</f>
        <v/>
      </c>
      <c r="BS63" s="57">
        <f>IF(AI63=0,0,IF(33=CARTÕES!$F63,CARTÕES!$E63-(CARTÕES!$F63-1)*ROUND(CARTÕES!$E63/CARTÕES!$F63,0),ROUND(CARTÕES!$E63/CARTÕES!$F63,0)))</f>
        <v/>
      </c>
      <c r="BT63" s="57">
        <f>IF(AJ63=0,0,IF(34=CARTÕES!$F63,CARTÕES!$E63-(CARTÕES!$F63-1)*ROUND(CARTÕES!$E63/CARTÕES!$F63,0),ROUND(CARTÕES!$E63/CARTÕES!$F63,0)))</f>
        <v/>
      </c>
      <c r="BU63" s="57">
        <f>IF(AK63=0,0,IF(35=CARTÕES!$F63,CARTÕES!$E63-(CARTÕES!$F63-1)*ROUND(CARTÕES!$E63/CARTÕES!$F63,0),ROUND(CARTÕES!$E63/CARTÕES!$F63,0)))</f>
        <v/>
      </c>
      <c r="BV63" s="57">
        <f>IF(AL63=0,0,IF(36=CARTÕES!$F63,CARTÕES!$E63-(CARTÕES!$F63-1)*ROUND(CARTÕES!$E63/CARTÕES!$F63,0),ROUND(CARTÕES!$E63/CARTÕES!$F63,0)))</f>
        <v/>
      </c>
    </row>
    <row r="64">
      <c r="A64" s="55">
        <f>IF(CARTÕES!$C64="","",CARTÕES!$C64)</f>
        <v/>
      </c>
      <c r="B64" s="56">
        <f>SUMPRODUCT((C64:AL64='RESUMO MENSAL'!$C$4)*AM64:BV64)</f>
        <v/>
      </c>
      <c r="C64" s="57">
        <f>IF(OR(CARTÕES!$K64=0,CARTÕES!$F64=""),0,IF(1&gt;CARTÕES!$F64,0,CARTÕES!$K64+1-1))</f>
        <v/>
      </c>
      <c r="D64" s="57">
        <f>IF(OR(CARTÕES!$K64=0,CARTÕES!$F64=""),0,IF(2&gt;CARTÕES!$F64,0,CARTÕES!$K64+2-1))</f>
        <v/>
      </c>
      <c r="E64" s="57">
        <f>IF(OR(CARTÕES!$K64=0,CARTÕES!$F64=""),0,IF(3&gt;CARTÕES!$F64,0,CARTÕES!$K64+3-1))</f>
        <v/>
      </c>
      <c r="F64" s="57">
        <f>IF(OR(CARTÕES!$K64=0,CARTÕES!$F64=""),0,IF(4&gt;CARTÕES!$F64,0,CARTÕES!$K64+4-1))</f>
        <v/>
      </c>
      <c r="G64" s="57">
        <f>IF(OR(CARTÕES!$K64=0,CARTÕES!$F64=""),0,IF(5&gt;CARTÕES!$F64,0,CARTÕES!$K64+5-1))</f>
        <v/>
      </c>
      <c r="H64" s="57">
        <f>IF(OR(CARTÕES!$K64=0,CARTÕES!$F64=""),0,IF(6&gt;CARTÕES!$F64,0,CARTÕES!$K64+6-1))</f>
        <v/>
      </c>
      <c r="I64" s="57">
        <f>IF(OR(CARTÕES!$K64=0,CARTÕES!$F64=""),0,IF(7&gt;CARTÕES!$F64,0,CARTÕES!$K64+7-1))</f>
        <v/>
      </c>
      <c r="J64" s="57">
        <f>IF(OR(CARTÕES!$K64=0,CARTÕES!$F64=""),0,IF(8&gt;CARTÕES!$F64,0,CARTÕES!$K64+8-1))</f>
        <v/>
      </c>
      <c r="K64" s="57">
        <f>IF(OR(CARTÕES!$K64=0,CARTÕES!$F64=""),0,IF(9&gt;CARTÕES!$F64,0,CARTÕES!$K64+9-1))</f>
        <v/>
      </c>
      <c r="L64" s="57">
        <f>IF(OR(CARTÕES!$K64=0,CARTÕES!$F64=""),0,IF(10&gt;CARTÕES!$F64,0,CARTÕES!$K64+10-1))</f>
        <v/>
      </c>
      <c r="M64" s="57">
        <f>IF(OR(CARTÕES!$K64=0,CARTÕES!$F64=""),0,IF(11&gt;CARTÕES!$F64,0,CARTÕES!$K64+11-1))</f>
        <v/>
      </c>
      <c r="N64" s="57">
        <f>IF(OR(CARTÕES!$K64=0,CARTÕES!$F64=""),0,IF(12&gt;CARTÕES!$F64,0,CARTÕES!$K64+12-1))</f>
        <v/>
      </c>
      <c r="O64" s="57">
        <f>IF(OR(CARTÕES!$K64=0,CARTÕES!$F64=""),0,IF(13&gt;CARTÕES!$F64,0,CARTÕES!$K64+13-1))</f>
        <v/>
      </c>
      <c r="P64" s="57">
        <f>IF(OR(CARTÕES!$K64=0,CARTÕES!$F64=""),0,IF(14&gt;CARTÕES!$F64,0,CARTÕES!$K64+14-1))</f>
        <v/>
      </c>
      <c r="Q64" s="57">
        <f>IF(OR(CARTÕES!$K64=0,CARTÕES!$F64=""),0,IF(15&gt;CARTÕES!$F64,0,CARTÕES!$K64+15-1))</f>
        <v/>
      </c>
      <c r="R64" s="57">
        <f>IF(OR(CARTÕES!$K64=0,CARTÕES!$F64=""),0,IF(16&gt;CARTÕES!$F64,0,CARTÕES!$K64+16-1))</f>
        <v/>
      </c>
      <c r="S64" s="57">
        <f>IF(OR(CARTÕES!$K64=0,CARTÕES!$F64=""),0,IF(17&gt;CARTÕES!$F64,0,CARTÕES!$K64+17-1))</f>
        <v/>
      </c>
      <c r="T64" s="57">
        <f>IF(OR(CARTÕES!$K64=0,CARTÕES!$F64=""),0,IF(18&gt;CARTÕES!$F64,0,CARTÕES!$K64+18-1))</f>
        <v/>
      </c>
      <c r="U64" s="57">
        <f>IF(OR(CARTÕES!$K64=0,CARTÕES!$F64=""),0,IF(19&gt;CARTÕES!$F64,0,CARTÕES!$K64+19-1))</f>
        <v/>
      </c>
      <c r="V64" s="57">
        <f>IF(OR(CARTÕES!$K64=0,CARTÕES!$F64=""),0,IF(20&gt;CARTÕES!$F64,0,CARTÕES!$K64+20-1))</f>
        <v/>
      </c>
      <c r="W64" s="57">
        <f>IF(OR(CARTÕES!$K64=0,CARTÕES!$F64=""),0,IF(21&gt;CARTÕES!$F64,0,CARTÕES!$K64+21-1))</f>
        <v/>
      </c>
      <c r="X64" s="57">
        <f>IF(OR(CARTÕES!$K64=0,CARTÕES!$F64=""),0,IF(22&gt;CARTÕES!$F64,0,CARTÕES!$K64+22-1))</f>
        <v/>
      </c>
      <c r="Y64" s="57">
        <f>IF(OR(CARTÕES!$K64=0,CARTÕES!$F64=""),0,IF(23&gt;CARTÕES!$F64,0,CARTÕES!$K64+23-1))</f>
        <v/>
      </c>
      <c r="Z64" s="57">
        <f>IF(OR(CARTÕES!$K64=0,CARTÕES!$F64=""),0,IF(24&gt;CARTÕES!$F64,0,CARTÕES!$K64+24-1))</f>
        <v/>
      </c>
      <c r="AA64" s="57">
        <f>IF(OR(CARTÕES!$K64=0,CARTÕES!$F64=""),0,IF(25&gt;CARTÕES!$F64,0,CARTÕES!$K64+25-1))</f>
        <v/>
      </c>
      <c r="AB64" s="57">
        <f>IF(OR(CARTÕES!$K64=0,CARTÕES!$F64=""),0,IF(26&gt;CARTÕES!$F64,0,CARTÕES!$K64+26-1))</f>
        <v/>
      </c>
      <c r="AC64" s="57">
        <f>IF(OR(CARTÕES!$K64=0,CARTÕES!$F64=""),0,IF(27&gt;CARTÕES!$F64,0,CARTÕES!$K64+27-1))</f>
        <v/>
      </c>
      <c r="AD64" s="57">
        <f>IF(OR(CARTÕES!$K64=0,CARTÕES!$F64=""),0,IF(28&gt;CARTÕES!$F64,0,CARTÕES!$K64+28-1))</f>
        <v/>
      </c>
      <c r="AE64" s="57">
        <f>IF(OR(CARTÕES!$K64=0,CARTÕES!$F64=""),0,IF(29&gt;CARTÕES!$F64,0,CARTÕES!$K64+29-1))</f>
        <v/>
      </c>
      <c r="AF64" s="57">
        <f>IF(OR(CARTÕES!$K64=0,CARTÕES!$F64=""),0,IF(30&gt;CARTÕES!$F64,0,CARTÕES!$K64+30-1))</f>
        <v/>
      </c>
      <c r="AG64" s="57">
        <f>IF(OR(CARTÕES!$K64=0,CARTÕES!$F64=""),0,IF(31&gt;CARTÕES!$F64,0,CARTÕES!$K64+31-1))</f>
        <v/>
      </c>
      <c r="AH64" s="57">
        <f>IF(OR(CARTÕES!$K64=0,CARTÕES!$F64=""),0,IF(32&gt;CARTÕES!$F64,0,CARTÕES!$K64+32-1))</f>
        <v/>
      </c>
      <c r="AI64" s="57">
        <f>IF(OR(CARTÕES!$K64=0,CARTÕES!$F64=""),0,IF(33&gt;CARTÕES!$F64,0,CARTÕES!$K64+33-1))</f>
        <v/>
      </c>
      <c r="AJ64" s="57">
        <f>IF(OR(CARTÕES!$K64=0,CARTÕES!$F64=""),0,IF(34&gt;CARTÕES!$F64,0,CARTÕES!$K64+34-1))</f>
        <v/>
      </c>
      <c r="AK64" s="57">
        <f>IF(OR(CARTÕES!$K64=0,CARTÕES!$F64=""),0,IF(35&gt;CARTÕES!$F64,0,CARTÕES!$K64+35-1))</f>
        <v/>
      </c>
      <c r="AL64" s="57">
        <f>IF(OR(CARTÕES!$K64=0,CARTÕES!$F64=""),0,IF(36&gt;CARTÕES!$F64,0,CARTÕES!$K64+36-1))</f>
        <v/>
      </c>
      <c r="AM64" s="57">
        <f>IF(C64=0,0,IF(1=CARTÕES!$F64,CARTÕES!$E64-(CARTÕES!$F64-1)*ROUND(CARTÕES!$E64/CARTÕES!$F64,0),ROUND(CARTÕES!$E64/CARTÕES!$F64,0)))</f>
        <v/>
      </c>
      <c r="AN64" s="57">
        <f>IF(D64=0,0,IF(2=CARTÕES!$F64,CARTÕES!$E64-(CARTÕES!$F64-1)*ROUND(CARTÕES!$E64/CARTÕES!$F64,0),ROUND(CARTÕES!$E64/CARTÕES!$F64,0)))</f>
        <v/>
      </c>
      <c r="AO64" s="57">
        <f>IF(E64=0,0,IF(3=CARTÕES!$F64,CARTÕES!$E64-(CARTÕES!$F64-1)*ROUND(CARTÕES!$E64/CARTÕES!$F64,0),ROUND(CARTÕES!$E64/CARTÕES!$F64,0)))</f>
        <v/>
      </c>
      <c r="AP64" s="57">
        <f>IF(F64=0,0,IF(4=CARTÕES!$F64,CARTÕES!$E64-(CARTÕES!$F64-1)*ROUND(CARTÕES!$E64/CARTÕES!$F64,0),ROUND(CARTÕES!$E64/CARTÕES!$F64,0)))</f>
        <v/>
      </c>
      <c r="AQ64" s="57">
        <f>IF(G64=0,0,IF(5=CARTÕES!$F64,CARTÕES!$E64-(CARTÕES!$F64-1)*ROUND(CARTÕES!$E64/CARTÕES!$F64,0),ROUND(CARTÕES!$E64/CARTÕES!$F64,0)))</f>
        <v/>
      </c>
      <c r="AR64" s="57">
        <f>IF(H64=0,0,IF(6=CARTÕES!$F64,CARTÕES!$E64-(CARTÕES!$F64-1)*ROUND(CARTÕES!$E64/CARTÕES!$F64,0),ROUND(CARTÕES!$E64/CARTÕES!$F64,0)))</f>
        <v/>
      </c>
      <c r="AS64" s="57">
        <f>IF(I64=0,0,IF(7=CARTÕES!$F64,CARTÕES!$E64-(CARTÕES!$F64-1)*ROUND(CARTÕES!$E64/CARTÕES!$F64,0),ROUND(CARTÕES!$E64/CARTÕES!$F64,0)))</f>
        <v/>
      </c>
      <c r="AT64" s="57">
        <f>IF(J64=0,0,IF(8=CARTÕES!$F64,CARTÕES!$E64-(CARTÕES!$F64-1)*ROUND(CARTÕES!$E64/CARTÕES!$F64,0),ROUND(CARTÕES!$E64/CARTÕES!$F64,0)))</f>
        <v/>
      </c>
      <c r="AU64" s="57">
        <f>IF(K64=0,0,IF(9=CARTÕES!$F64,CARTÕES!$E64-(CARTÕES!$F64-1)*ROUND(CARTÕES!$E64/CARTÕES!$F64,0),ROUND(CARTÕES!$E64/CARTÕES!$F64,0)))</f>
        <v/>
      </c>
      <c r="AV64" s="57">
        <f>IF(L64=0,0,IF(10=CARTÕES!$F64,CARTÕES!$E64-(CARTÕES!$F64-1)*ROUND(CARTÕES!$E64/CARTÕES!$F64,0),ROUND(CARTÕES!$E64/CARTÕES!$F64,0)))</f>
        <v/>
      </c>
      <c r="AW64" s="57">
        <f>IF(M64=0,0,IF(11=CARTÕES!$F64,CARTÕES!$E64-(CARTÕES!$F64-1)*ROUND(CARTÕES!$E64/CARTÕES!$F64,0),ROUND(CARTÕES!$E64/CARTÕES!$F64,0)))</f>
        <v/>
      </c>
      <c r="AX64" s="57">
        <f>IF(N64=0,0,IF(12=CARTÕES!$F64,CARTÕES!$E64-(CARTÕES!$F64-1)*ROUND(CARTÕES!$E64/CARTÕES!$F64,0),ROUND(CARTÕES!$E64/CARTÕES!$F64,0)))</f>
        <v/>
      </c>
      <c r="AY64" s="57">
        <f>IF(O64=0,0,IF(13=CARTÕES!$F64,CARTÕES!$E64-(CARTÕES!$F64-1)*ROUND(CARTÕES!$E64/CARTÕES!$F64,0),ROUND(CARTÕES!$E64/CARTÕES!$F64,0)))</f>
        <v/>
      </c>
      <c r="AZ64" s="57">
        <f>IF(P64=0,0,IF(14=CARTÕES!$F64,CARTÕES!$E64-(CARTÕES!$F64-1)*ROUND(CARTÕES!$E64/CARTÕES!$F64,0),ROUND(CARTÕES!$E64/CARTÕES!$F64,0)))</f>
        <v/>
      </c>
      <c r="BA64" s="57">
        <f>IF(Q64=0,0,IF(15=CARTÕES!$F64,CARTÕES!$E64-(CARTÕES!$F64-1)*ROUND(CARTÕES!$E64/CARTÕES!$F64,0),ROUND(CARTÕES!$E64/CARTÕES!$F64,0)))</f>
        <v/>
      </c>
      <c r="BB64" s="57">
        <f>IF(R64=0,0,IF(16=CARTÕES!$F64,CARTÕES!$E64-(CARTÕES!$F64-1)*ROUND(CARTÕES!$E64/CARTÕES!$F64,0),ROUND(CARTÕES!$E64/CARTÕES!$F64,0)))</f>
        <v/>
      </c>
      <c r="BC64" s="57">
        <f>IF(S64=0,0,IF(17=CARTÕES!$F64,CARTÕES!$E64-(CARTÕES!$F64-1)*ROUND(CARTÕES!$E64/CARTÕES!$F64,0),ROUND(CARTÕES!$E64/CARTÕES!$F64,0)))</f>
        <v/>
      </c>
      <c r="BD64" s="57">
        <f>IF(T64=0,0,IF(18=CARTÕES!$F64,CARTÕES!$E64-(CARTÕES!$F64-1)*ROUND(CARTÕES!$E64/CARTÕES!$F64,0),ROUND(CARTÕES!$E64/CARTÕES!$F64,0)))</f>
        <v/>
      </c>
      <c r="BE64" s="57">
        <f>IF(U64=0,0,IF(19=CARTÕES!$F64,CARTÕES!$E64-(CARTÕES!$F64-1)*ROUND(CARTÕES!$E64/CARTÕES!$F64,0),ROUND(CARTÕES!$E64/CARTÕES!$F64,0)))</f>
        <v/>
      </c>
      <c r="BF64" s="57">
        <f>IF(V64=0,0,IF(20=CARTÕES!$F64,CARTÕES!$E64-(CARTÕES!$F64-1)*ROUND(CARTÕES!$E64/CARTÕES!$F64,0),ROUND(CARTÕES!$E64/CARTÕES!$F64,0)))</f>
        <v/>
      </c>
      <c r="BG64" s="57">
        <f>IF(W64=0,0,IF(21=CARTÕES!$F64,CARTÕES!$E64-(CARTÕES!$F64-1)*ROUND(CARTÕES!$E64/CARTÕES!$F64,0),ROUND(CARTÕES!$E64/CARTÕES!$F64,0)))</f>
        <v/>
      </c>
      <c r="BH64" s="57">
        <f>IF(X64=0,0,IF(22=CARTÕES!$F64,CARTÕES!$E64-(CARTÕES!$F64-1)*ROUND(CARTÕES!$E64/CARTÕES!$F64,0),ROUND(CARTÕES!$E64/CARTÕES!$F64,0)))</f>
        <v/>
      </c>
      <c r="BI64" s="57">
        <f>IF(Y64=0,0,IF(23=CARTÕES!$F64,CARTÕES!$E64-(CARTÕES!$F64-1)*ROUND(CARTÕES!$E64/CARTÕES!$F64,0),ROUND(CARTÕES!$E64/CARTÕES!$F64,0)))</f>
        <v/>
      </c>
      <c r="BJ64" s="57">
        <f>IF(Z64=0,0,IF(24=CARTÕES!$F64,CARTÕES!$E64-(CARTÕES!$F64-1)*ROUND(CARTÕES!$E64/CARTÕES!$F64,0),ROUND(CARTÕES!$E64/CARTÕES!$F64,0)))</f>
        <v/>
      </c>
      <c r="BK64" s="57">
        <f>IF(AA64=0,0,IF(25=CARTÕES!$F64,CARTÕES!$E64-(CARTÕES!$F64-1)*ROUND(CARTÕES!$E64/CARTÕES!$F64,0),ROUND(CARTÕES!$E64/CARTÕES!$F64,0)))</f>
        <v/>
      </c>
      <c r="BL64" s="57">
        <f>IF(AB64=0,0,IF(26=CARTÕES!$F64,CARTÕES!$E64-(CARTÕES!$F64-1)*ROUND(CARTÕES!$E64/CARTÕES!$F64,0),ROUND(CARTÕES!$E64/CARTÕES!$F64,0)))</f>
        <v/>
      </c>
      <c r="BM64" s="57">
        <f>IF(AC64=0,0,IF(27=CARTÕES!$F64,CARTÕES!$E64-(CARTÕES!$F64-1)*ROUND(CARTÕES!$E64/CARTÕES!$F64,0),ROUND(CARTÕES!$E64/CARTÕES!$F64,0)))</f>
        <v/>
      </c>
      <c r="BN64" s="57">
        <f>IF(AD64=0,0,IF(28=CARTÕES!$F64,CARTÕES!$E64-(CARTÕES!$F64-1)*ROUND(CARTÕES!$E64/CARTÕES!$F64,0),ROUND(CARTÕES!$E64/CARTÕES!$F64,0)))</f>
        <v/>
      </c>
      <c r="BO64" s="57">
        <f>IF(AE64=0,0,IF(29=CARTÕES!$F64,CARTÕES!$E64-(CARTÕES!$F64-1)*ROUND(CARTÕES!$E64/CARTÕES!$F64,0),ROUND(CARTÕES!$E64/CARTÕES!$F64,0)))</f>
        <v/>
      </c>
      <c r="BP64" s="57">
        <f>IF(AF64=0,0,IF(30=CARTÕES!$F64,CARTÕES!$E64-(CARTÕES!$F64-1)*ROUND(CARTÕES!$E64/CARTÕES!$F64,0),ROUND(CARTÕES!$E64/CARTÕES!$F64,0)))</f>
        <v/>
      </c>
      <c r="BQ64" s="57">
        <f>IF(AG64=0,0,IF(31=CARTÕES!$F64,CARTÕES!$E64-(CARTÕES!$F64-1)*ROUND(CARTÕES!$E64/CARTÕES!$F64,0),ROUND(CARTÕES!$E64/CARTÕES!$F64,0)))</f>
        <v/>
      </c>
      <c r="BR64" s="57">
        <f>IF(AH64=0,0,IF(32=CARTÕES!$F64,CARTÕES!$E64-(CARTÕES!$F64-1)*ROUND(CARTÕES!$E64/CARTÕES!$F64,0),ROUND(CARTÕES!$E64/CARTÕES!$F64,0)))</f>
        <v/>
      </c>
      <c r="BS64" s="57">
        <f>IF(AI64=0,0,IF(33=CARTÕES!$F64,CARTÕES!$E64-(CARTÕES!$F64-1)*ROUND(CARTÕES!$E64/CARTÕES!$F64,0),ROUND(CARTÕES!$E64/CARTÕES!$F64,0)))</f>
        <v/>
      </c>
      <c r="BT64" s="57">
        <f>IF(AJ64=0,0,IF(34=CARTÕES!$F64,CARTÕES!$E64-(CARTÕES!$F64-1)*ROUND(CARTÕES!$E64/CARTÕES!$F64,0),ROUND(CARTÕES!$E64/CARTÕES!$F64,0)))</f>
        <v/>
      </c>
      <c r="BU64" s="57">
        <f>IF(AK64=0,0,IF(35=CARTÕES!$F64,CARTÕES!$E64-(CARTÕES!$F64-1)*ROUND(CARTÕES!$E64/CARTÕES!$F64,0),ROUND(CARTÕES!$E64/CARTÕES!$F64,0)))</f>
        <v/>
      </c>
      <c r="BV64" s="57">
        <f>IF(AL64=0,0,IF(36=CARTÕES!$F64,CARTÕES!$E64-(CARTÕES!$F64-1)*ROUND(CARTÕES!$E64/CARTÕES!$F64,0),ROUND(CARTÕES!$E64/CARTÕES!$F64,0)))</f>
        <v/>
      </c>
    </row>
    <row r="65">
      <c r="A65" s="55">
        <f>IF(CARTÕES!$C65="","",CARTÕES!$C65)</f>
        <v/>
      </c>
      <c r="B65" s="56">
        <f>SUMPRODUCT((C65:AL65='RESUMO MENSAL'!$C$4)*AM65:BV65)</f>
        <v/>
      </c>
      <c r="C65" s="57">
        <f>IF(OR(CARTÕES!$K65=0,CARTÕES!$F65=""),0,IF(1&gt;CARTÕES!$F65,0,CARTÕES!$K65+1-1))</f>
        <v/>
      </c>
      <c r="D65" s="57">
        <f>IF(OR(CARTÕES!$K65=0,CARTÕES!$F65=""),0,IF(2&gt;CARTÕES!$F65,0,CARTÕES!$K65+2-1))</f>
        <v/>
      </c>
      <c r="E65" s="57">
        <f>IF(OR(CARTÕES!$K65=0,CARTÕES!$F65=""),0,IF(3&gt;CARTÕES!$F65,0,CARTÕES!$K65+3-1))</f>
        <v/>
      </c>
      <c r="F65" s="57">
        <f>IF(OR(CARTÕES!$K65=0,CARTÕES!$F65=""),0,IF(4&gt;CARTÕES!$F65,0,CARTÕES!$K65+4-1))</f>
        <v/>
      </c>
      <c r="G65" s="57">
        <f>IF(OR(CARTÕES!$K65=0,CARTÕES!$F65=""),0,IF(5&gt;CARTÕES!$F65,0,CARTÕES!$K65+5-1))</f>
        <v/>
      </c>
      <c r="H65" s="57">
        <f>IF(OR(CARTÕES!$K65=0,CARTÕES!$F65=""),0,IF(6&gt;CARTÕES!$F65,0,CARTÕES!$K65+6-1))</f>
        <v/>
      </c>
      <c r="I65" s="57">
        <f>IF(OR(CARTÕES!$K65=0,CARTÕES!$F65=""),0,IF(7&gt;CARTÕES!$F65,0,CARTÕES!$K65+7-1))</f>
        <v/>
      </c>
      <c r="J65" s="57">
        <f>IF(OR(CARTÕES!$K65=0,CARTÕES!$F65=""),0,IF(8&gt;CARTÕES!$F65,0,CARTÕES!$K65+8-1))</f>
        <v/>
      </c>
      <c r="K65" s="57">
        <f>IF(OR(CARTÕES!$K65=0,CARTÕES!$F65=""),0,IF(9&gt;CARTÕES!$F65,0,CARTÕES!$K65+9-1))</f>
        <v/>
      </c>
      <c r="L65" s="57">
        <f>IF(OR(CARTÕES!$K65=0,CARTÕES!$F65=""),0,IF(10&gt;CARTÕES!$F65,0,CARTÕES!$K65+10-1))</f>
        <v/>
      </c>
      <c r="M65" s="57">
        <f>IF(OR(CARTÕES!$K65=0,CARTÕES!$F65=""),0,IF(11&gt;CARTÕES!$F65,0,CARTÕES!$K65+11-1))</f>
        <v/>
      </c>
      <c r="N65" s="57">
        <f>IF(OR(CARTÕES!$K65=0,CARTÕES!$F65=""),0,IF(12&gt;CARTÕES!$F65,0,CARTÕES!$K65+12-1))</f>
        <v/>
      </c>
      <c r="O65" s="57">
        <f>IF(OR(CARTÕES!$K65=0,CARTÕES!$F65=""),0,IF(13&gt;CARTÕES!$F65,0,CARTÕES!$K65+13-1))</f>
        <v/>
      </c>
      <c r="P65" s="57">
        <f>IF(OR(CARTÕES!$K65=0,CARTÕES!$F65=""),0,IF(14&gt;CARTÕES!$F65,0,CARTÕES!$K65+14-1))</f>
        <v/>
      </c>
      <c r="Q65" s="57">
        <f>IF(OR(CARTÕES!$K65=0,CARTÕES!$F65=""),0,IF(15&gt;CARTÕES!$F65,0,CARTÕES!$K65+15-1))</f>
        <v/>
      </c>
      <c r="R65" s="57">
        <f>IF(OR(CARTÕES!$K65=0,CARTÕES!$F65=""),0,IF(16&gt;CARTÕES!$F65,0,CARTÕES!$K65+16-1))</f>
        <v/>
      </c>
      <c r="S65" s="57">
        <f>IF(OR(CARTÕES!$K65=0,CARTÕES!$F65=""),0,IF(17&gt;CARTÕES!$F65,0,CARTÕES!$K65+17-1))</f>
        <v/>
      </c>
      <c r="T65" s="57">
        <f>IF(OR(CARTÕES!$K65=0,CARTÕES!$F65=""),0,IF(18&gt;CARTÕES!$F65,0,CARTÕES!$K65+18-1))</f>
        <v/>
      </c>
      <c r="U65" s="57">
        <f>IF(OR(CARTÕES!$K65=0,CARTÕES!$F65=""),0,IF(19&gt;CARTÕES!$F65,0,CARTÕES!$K65+19-1))</f>
        <v/>
      </c>
      <c r="V65" s="57">
        <f>IF(OR(CARTÕES!$K65=0,CARTÕES!$F65=""),0,IF(20&gt;CARTÕES!$F65,0,CARTÕES!$K65+20-1))</f>
        <v/>
      </c>
      <c r="W65" s="57">
        <f>IF(OR(CARTÕES!$K65=0,CARTÕES!$F65=""),0,IF(21&gt;CARTÕES!$F65,0,CARTÕES!$K65+21-1))</f>
        <v/>
      </c>
      <c r="X65" s="57">
        <f>IF(OR(CARTÕES!$K65=0,CARTÕES!$F65=""),0,IF(22&gt;CARTÕES!$F65,0,CARTÕES!$K65+22-1))</f>
        <v/>
      </c>
      <c r="Y65" s="57">
        <f>IF(OR(CARTÕES!$K65=0,CARTÕES!$F65=""),0,IF(23&gt;CARTÕES!$F65,0,CARTÕES!$K65+23-1))</f>
        <v/>
      </c>
      <c r="Z65" s="57">
        <f>IF(OR(CARTÕES!$K65=0,CARTÕES!$F65=""),0,IF(24&gt;CARTÕES!$F65,0,CARTÕES!$K65+24-1))</f>
        <v/>
      </c>
      <c r="AA65" s="57">
        <f>IF(OR(CARTÕES!$K65=0,CARTÕES!$F65=""),0,IF(25&gt;CARTÕES!$F65,0,CARTÕES!$K65+25-1))</f>
        <v/>
      </c>
      <c r="AB65" s="57">
        <f>IF(OR(CARTÕES!$K65=0,CARTÕES!$F65=""),0,IF(26&gt;CARTÕES!$F65,0,CARTÕES!$K65+26-1))</f>
        <v/>
      </c>
      <c r="AC65" s="57">
        <f>IF(OR(CARTÕES!$K65=0,CARTÕES!$F65=""),0,IF(27&gt;CARTÕES!$F65,0,CARTÕES!$K65+27-1))</f>
        <v/>
      </c>
      <c r="AD65" s="57">
        <f>IF(OR(CARTÕES!$K65=0,CARTÕES!$F65=""),0,IF(28&gt;CARTÕES!$F65,0,CARTÕES!$K65+28-1))</f>
        <v/>
      </c>
      <c r="AE65" s="57">
        <f>IF(OR(CARTÕES!$K65=0,CARTÕES!$F65=""),0,IF(29&gt;CARTÕES!$F65,0,CARTÕES!$K65+29-1))</f>
        <v/>
      </c>
      <c r="AF65" s="57">
        <f>IF(OR(CARTÕES!$K65=0,CARTÕES!$F65=""),0,IF(30&gt;CARTÕES!$F65,0,CARTÕES!$K65+30-1))</f>
        <v/>
      </c>
      <c r="AG65" s="57">
        <f>IF(OR(CARTÕES!$K65=0,CARTÕES!$F65=""),0,IF(31&gt;CARTÕES!$F65,0,CARTÕES!$K65+31-1))</f>
        <v/>
      </c>
      <c r="AH65" s="57">
        <f>IF(OR(CARTÕES!$K65=0,CARTÕES!$F65=""),0,IF(32&gt;CARTÕES!$F65,0,CARTÕES!$K65+32-1))</f>
        <v/>
      </c>
      <c r="AI65" s="57">
        <f>IF(OR(CARTÕES!$K65=0,CARTÕES!$F65=""),0,IF(33&gt;CARTÕES!$F65,0,CARTÕES!$K65+33-1))</f>
        <v/>
      </c>
      <c r="AJ65" s="57">
        <f>IF(OR(CARTÕES!$K65=0,CARTÕES!$F65=""),0,IF(34&gt;CARTÕES!$F65,0,CARTÕES!$K65+34-1))</f>
        <v/>
      </c>
      <c r="AK65" s="57">
        <f>IF(OR(CARTÕES!$K65=0,CARTÕES!$F65=""),0,IF(35&gt;CARTÕES!$F65,0,CARTÕES!$K65+35-1))</f>
        <v/>
      </c>
      <c r="AL65" s="57">
        <f>IF(OR(CARTÕES!$K65=0,CARTÕES!$F65=""),0,IF(36&gt;CARTÕES!$F65,0,CARTÕES!$K65+36-1))</f>
        <v/>
      </c>
      <c r="AM65" s="57">
        <f>IF(C65=0,0,IF(1=CARTÕES!$F65,CARTÕES!$E65-(CARTÕES!$F65-1)*ROUND(CARTÕES!$E65/CARTÕES!$F65,0),ROUND(CARTÕES!$E65/CARTÕES!$F65,0)))</f>
        <v/>
      </c>
      <c r="AN65" s="57">
        <f>IF(D65=0,0,IF(2=CARTÕES!$F65,CARTÕES!$E65-(CARTÕES!$F65-1)*ROUND(CARTÕES!$E65/CARTÕES!$F65,0),ROUND(CARTÕES!$E65/CARTÕES!$F65,0)))</f>
        <v/>
      </c>
      <c r="AO65" s="57">
        <f>IF(E65=0,0,IF(3=CARTÕES!$F65,CARTÕES!$E65-(CARTÕES!$F65-1)*ROUND(CARTÕES!$E65/CARTÕES!$F65,0),ROUND(CARTÕES!$E65/CARTÕES!$F65,0)))</f>
        <v/>
      </c>
      <c r="AP65" s="57">
        <f>IF(F65=0,0,IF(4=CARTÕES!$F65,CARTÕES!$E65-(CARTÕES!$F65-1)*ROUND(CARTÕES!$E65/CARTÕES!$F65,0),ROUND(CARTÕES!$E65/CARTÕES!$F65,0)))</f>
        <v/>
      </c>
      <c r="AQ65" s="57">
        <f>IF(G65=0,0,IF(5=CARTÕES!$F65,CARTÕES!$E65-(CARTÕES!$F65-1)*ROUND(CARTÕES!$E65/CARTÕES!$F65,0),ROUND(CARTÕES!$E65/CARTÕES!$F65,0)))</f>
        <v/>
      </c>
      <c r="AR65" s="57">
        <f>IF(H65=0,0,IF(6=CARTÕES!$F65,CARTÕES!$E65-(CARTÕES!$F65-1)*ROUND(CARTÕES!$E65/CARTÕES!$F65,0),ROUND(CARTÕES!$E65/CARTÕES!$F65,0)))</f>
        <v/>
      </c>
      <c r="AS65" s="57">
        <f>IF(I65=0,0,IF(7=CARTÕES!$F65,CARTÕES!$E65-(CARTÕES!$F65-1)*ROUND(CARTÕES!$E65/CARTÕES!$F65,0),ROUND(CARTÕES!$E65/CARTÕES!$F65,0)))</f>
        <v/>
      </c>
      <c r="AT65" s="57">
        <f>IF(J65=0,0,IF(8=CARTÕES!$F65,CARTÕES!$E65-(CARTÕES!$F65-1)*ROUND(CARTÕES!$E65/CARTÕES!$F65,0),ROUND(CARTÕES!$E65/CARTÕES!$F65,0)))</f>
        <v/>
      </c>
      <c r="AU65" s="57">
        <f>IF(K65=0,0,IF(9=CARTÕES!$F65,CARTÕES!$E65-(CARTÕES!$F65-1)*ROUND(CARTÕES!$E65/CARTÕES!$F65,0),ROUND(CARTÕES!$E65/CARTÕES!$F65,0)))</f>
        <v/>
      </c>
      <c r="AV65" s="57">
        <f>IF(L65=0,0,IF(10=CARTÕES!$F65,CARTÕES!$E65-(CARTÕES!$F65-1)*ROUND(CARTÕES!$E65/CARTÕES!$F65,0),ROUND(CARTÕES!$E65/CARTÕES!$F65,0)))</f>
        <v/>
      </c>
      <c r="AW65" s="57">
        <f>IF(M65=0,0,IF(11=CARTÕES!$F65,CARTÕES!$E65-(CARTÕES!$F65-1)*ROUND(CARTÕES!$E65/CARTÕES!$F65,0),ROUND(CARTÕES!$E65/CARTÕES!$F65,0)))</f>
        <v/>
      </c>
      <c r="AX65" s="57">
        <f>IF(N65=0,0,IF(12=CARTÕES!$F65,CARTÕES!$E65-(CARTÕES!$F65-1)*ROUND(CARTÕES!$E65/CARTÕES!$F65,0),ROUND(CARTÕES!$E65/CARTÕES!$F65,0)))</f>
        <v/>
      </c>
      <c r="AY65" s="57">
        <f>IF(O65=0,0,IF(13=CARTÕES!$F65,CARTÕES!$E65-(CARTÕES!$F65-1)*ROUND(CARTÕES!$E65/CARTÕES!$F65,0),ROUND(CARTÕES!$E65/CARTÕES!$F65,0)))</f>
        <v/>
      </c>
      <c r="AZ65" s="57">
        <f>IF(P65=0,0,IF(14=CARTÕES!$F65,CARTÕES!$E65-(CARTÕES!$F65-1)*ROUND(CARTÕES!$E65/CARTÕES!$F65,0),ROUND(CARTÕES!$E65/CARTÕES!$F65,0)))</f>
        <v/>
      </c>
      <c r="BA65" s="57">
        <f>IF(Q65=0,0,IF(15=CARTÕES!$F65,CARTÕES!$E65-(CARTÕES!$F65-1)*ROUND(CARTÕES!$E65/CARTÕES!$F65,0),ROUND(CARTÕES!$E65/CARTÕES!$F65,0)))</f>
        <v/>
      </c>
      <c r="BB65" s="57">
        <f>IF(R65=0,0,IF(16=CARTÕES!$F65,CARTÕES!$E65-(CARTÕES!$F65-1)*ROUND(CARTÕES!$E65/CARTÕES!$F65,0),ROUND(CARTÕES!$E65/CARTÕES!$F65,0)))</f>
        <v/>
      </c>
      <c r="BC65" s="57">
        <f>IF(S65=0,0,IF(17=CARTÕES!$F65,CARTÕES!$E65-(CARTÕES!$F65-1)*ROUND(CARTÕES!$E65/CARTÕES!$F65,0),ROUND(CARTÕES!$E65/CARTÕES!$F65,0)))</f>
        <v/>
      </c>
      <c r="BD65" s="57">
        <f>IF(T65=0,0,IF(18=CARTÕES!$F65,CARTÕES!$E65-(CARTÕES!$F65-1)*ROUND(CARTÕES!$E65/CARTÕES!$F65,0),ROUND(CARTÕES!$E65/CARTÕES!$F65,0)))</f>
        <v/>
      </c>
      <c r="BE65" s="57">
        <f>IF(U65=0,0,IF(19=CARTÕES!$F65,CARTÕES!$E65-(CARTÕES!$F65-1)*ROUND(CARTÕES!$E65/CARTÕES!$F65,0),ROUND(CARTÕES!$E65/CARTÕES!$F65,0)))</f>
        <v/>
      </c>
      <c r="BF65" s="57">
        <f>IF(V65=0,0,IF(20=CARTÕES!$F65,CARTÕES!$E65-(CARTÕES!$F65-1)*ROUND(CARTÕES!$E65/CARTÕES!$F65,0),ROUND(CARTÕES!$E65/CARTÕES!$F65,0)))</f>
        <v/>
      </c>
      <c r="BG65" s="57">
        <f>IF(W65=0,0,IF(21=CARTÕES!$F65,CARTÕES!$E65-(CARTÕES!$F65-1)*ROUND(CARTÕES!$E65/CARTÕES!$F65,0),ROUND(CARTÕES!$E65/CARTÕES!$F65,0)))</f>
        <v/>
      </c>
      <c r="BH65" s="57">
        <f>IF(X65=0,0,IF(22=CARTÕES!$F65,CARTÕES!$E65-(CARTÕES!$F65-1)*ROUND(CARTÕES!$E65/CARTÕES!$F65,0),ROUND(CARTÕES!$E65/CARTÕES!$F65,0)))</f>
        <v/>
      </c>
      <c r="BI65" s="57">
        <f>IF(Y65=0,0,IF(23=CARTÕES!$F65,CARTÕES!$E65-(CARTÕES!$F65-1)*ROUND(CARTÕES!$E65/CARTÕES!$F65,0),ROUND(CARTÕES!$E65/CARTÕES!$F65,0)))</f>
        <v/>
      </c>
      <c r="BJ65" s="57">
        <f>IF(Z65=0,0,IF(24=CARTÕES!$F65,CARTÕES!$E65-(CARTÕES!$F65-1)*ROUND(CARTÕES!$E65/CARTÕES!$F65,0),ROUND(CARTÕES!$E65/CARTÕES!$F65,0)))</f>
        <v/>
      </c>
      <c r="BK65" s="57">
        <f>IF(AA65=0,0,IF(25=CARTÕES!$F65,CARTÕES!$E65-(CARTÕES!$F65-1)*ROUND(CARTÕES!$E65/CARTÕES!$F65,0),ROUND(CARTÕES!$E65/CARTÕES!$F65,0)))</f>
        <v/>
      </c>
      <c r="BL65" s="57">
        <f>IF(AB65=0,0,IF(26=CARTÕES!$F65,CARTÕES!$E65-(CARTÕES!$F65-1)*ROUND(CARTÕES!$E65/CARTÕES!$F65,0),ROUND(CARTÕES!$E65/CARTÕES!$F65,0)))</f>
        <v/>
      </c>
      <c r="BM65" s="57">
        <f>IF(AC65=0,0,IF(27=CARTÕES!$F65,CARTÕES!$E65-(CARTÕES!$F65-1)*ROUND(CARTÕES!$E65/CARTÕES!$F65,0),ROUND(CARTÕES!$E65/CARTÕES!$F65,0)))</f>
        <v/>
      </c>
      <c r="BN65" s="57">
        <f>IF(AD65=0,0,IF(28=CARTÕES!$F65,CARTÕES!$E65-(CARTÕES!$F65-1)*ROUND(CARTÕES!$E65/CARTÕES!$F65,0),ROUND(CARTÕES!$E65/CARTÕES!$F65,0)))</f>
        <v/>
      </c>
      <c r="BO65" s="57">
        <f>IF(AE65=0,0,IF(29=CARTÕES!$F65,CARTÕES!$E65-(CARTÕES!$F65-1)*ROUND(CARTÕES!$E65/CARTÕES!$F65,0),ROUND(CARTÕES!$E65/CARTÕES!$F65,0)))</f>
        <v/>
      </c>
      <c r="BP65" s="57">
        <f>IF(AF65=0,0,IF(30=CARTÕES!$F65,CARTÕES!$E65-(CARTÕES!$F65-1)*ROUND(CARTÕES!$E65/CARTÕES!$F65,0),ROUND(CARTÕES!$E65/CARTÕES!$F65,0)))</f>
        <v/>
      </c>
      <c r="BQ65" s="57">
        <f>IF(AG65=0,0,IF(31=CARTÕES!$F65,CARTÕES!$E65-(CARTÕES!$F65-1)*ROUND(CARTÕES!$E65/CARTÕES!$F65,0),ROUND(CARTÕES!$E65/CARTÕES!$F65,0)))</f>
        <v/>
      </c>
      <c r="BR65" s="57">
        <f>IF(AH65=0,0,IF(32=CARTÕES!$F65,CARTÕES!$E65-(CARTÕES!$F65-1)*ROUND(CARTÕES!$E65/CARTÕES!$F65,0),ROUND(CARTÕES!$E65/CARTÕES!$F65,0)))</f>
        <v/>
      </c>
      <c r="BS65" s="57">
        <f>IF(AI65=0,0,IF(33=CARTÕES!$F65,CARTÕES!$E65-(CARTÕES!$F65-1)*ROUND(CARTÕES!$E65/CARTÕES!$F65,0),ROUND(CARTÕES!$E65/CARTÕES!$F65,0)))</f>
        <v/>
      </c>
      <c r="BT65" s="57">
        <f>IF(AJ65=0,0,IF(34=CARTÕES!$F65,CARTÕES!$E65-(CARTÕES!$F65-1)*ROUND(CARTÕES!$E65/CARTÕES!$F65,0),ROUND(CARTÕES!$E65/CARTÕES!$F65,0)))</f>
        <v/>
      </c>
      <c r="BU65" s="57">
        <f>IF(AK65=0,0,IF(35=CARTÕES!$F65,CARTÕES!$E65-(CARTÕES!$F65-1)*ROUND(CARTÕES!$E65/CARTÕES!$F65,0),ROUND(CARTÕES!$E65/CARTÕES!$F65,0)))</f>
        <v/>
      </c>
      <c r="BV65" s="57">
        <f>IF(AL65=0,0,IF(36=CARTÕES!$F65,CARTÕES!$E65-(CARTÕES!$F65-1)*ROUND(CARTÕES!$E65/CARTÕES!$F65,0),ROUND(CARTÕES!$E65/CARTÕES!$F65,0)))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" customWidth="1" min="3" max="3"/>
    <col width="26" customWidth="1" min="4" max="4"/>
    <col width="3" customWidth="1" min="5" max="5"/>
    <col width="26" customWidth="1" min="6" max="6"/>
    <col width="14" customWidth="1" min="8" max="8"/>
    <col width="14" customWidth="1" min="9" max="9"/>
    <col width="14" customWidth="1" min="11" max="11"/>
  </cols>
  <sheetData>
    <row r="1" ht="24" customHeight="1">
      <c r="A1" s="1" t="inlineStr">
        <is>
          <t>LISTAS</t>
        </is>
      </c>
    </row>
    <row r="2">
      <c r="A2" s="2" t="inlineStr">
        <is>
          <t>Ajuste aqui suas categorias, meios de pagamento e o nome dos seus cartões.</t>
        </is>
      </c>
    </row>
    <row r="5" ht="30" customHeight="1">
      <c r="A5" s="15" t="inlineStr">
        <is>
          <t>Categoria</t>
        </is>
      </c>
      <c r="B5" s="15" t="inlineStr">
        <is>
          <t>Tipo</t>
        </is>
      </c>
      <c r="D5" s="15" t="inlineStr">
        <is>
          <t>Meio de pagamento</t>
        </is>
      </c>
      <c r="F5" s="15" t="inlineStr">
        <is>
          <t>Cartões de crédito</t>
        </is>
      </c>
      <c r="H5" s="15" t="inlineStr">
        <is>
          <t>Tipo</t>
        </is>
      </c>
      <c r="I5" s="15" t="inlineStr">
        <is>
          <t>Status</t>
        </is>
      </c>
      <c r="K5" s="15" t="inlineStr">
        <is>
          <t>Mês</t>
        </is>
      </c>
    </row>
    <row r="6">
      <c r="A6" s="18" t="inlineStr">
        <is>
          <t>Salário</t>
        </is>
      </c>
      <c r="B6" s="58" t="inlineStr">
        <is>
          <t>ENTRADA</t>
        </is>
      </c>
      <c r="D6" s="18" t="inlineStr">
        <is>
          <t>Dinheiro</t>
        </is>
      </c>
      <c r="F6" s="18" t="inlineStr">
        <is>
          <t>Cartão 1</t>
        </is>
      </c>
      <c r="H6" s="17" t="inlineStr">
        <is>
          <t>ENTRADA</t>
        </is>
      </c>
      <c r="I6" s="17" t="inlineStr">
        <is>
          <t>REALIZADO</t>
        </is>
      </c>
      <c r="K6" s="18" t="inlineStr">
        <is>
          <t>Janeiro</t>
        </is>
      </c>
    </row>
    <row r="7">
      <c r="A7" s="18" t="inlineStr">
        <is>
          <t>Pró-labore</t>
        </is>
      </c>
      <c r="B7" s="58" t="inlineStr">
        <is>
          <t>ENTRADA</t>
        </is>
      </c>
      <c r="D7" s="18" t="inlineStr">
        <is>
          <t>Conta corrente</t>
        </is>
      </c>
      <c r="F7" s="18" t="inlineStr">
        <is>
          <t>Cartão 2</t>
        </is>
      </c>
      <c r="H7" s="17" t="inlineStr">
        <is>
          <t>SAÍDA</t>
        </is>
      </c>
      <c r="I7" s="17" t="inlineStr">
        <is>
          <t>PROJETADO</t>
        </is>
      </c>
      <c r="K7" s="18" t="inlineStr">
        <is>
          <t>Fevereiro</t>
        </is>
      </c>
    </row>
    <row r="8">
      <c r="A8" s="18" t="inlineStr">
        <is>
          <t>Aluguel recebido</t>
        </is>
      </c>
      <c r="B8" s="58" t="inlineStr">
        <is>
          <t>ENTRADA</t>
        </is>
      </c>
      <c r="D8" s="18" t="inlineStr">
        <is>
          <t>Poupança</t>
        </is>
      </c>
      <c r="F8" s="18" t="inlineStr">
        <is>
          <t>Cartão 3</t>
        </is>
      </c>
      <c r="K8" s="18" t="inlineStr">
        <is>
          <t>Março</t>
        </is>
      </c>
    </row>
    <row r="9">
      <c r="A9" s="18" t="inlineStr">
        <is>
          <t>Venda</t>
        </is>
      </c>
      <c r="B9" s="58" t="inlineStr">
        <is>
          <t>ENTRADA</t>
        </is>
      </c>
      <c r="D9" s="18" t="inlineStr">
        <is>
          <t>Transferência</t>
        </is>
      </c>
      <c r="F9" s="18" t="inlineStr">
        <is>
          <t>Cartão 4</t>
        </is>
      </c>
      <c r="K9" s="18" t="inlineStr">
        <is>
          <t>Abril</t>
        </is>
      </c>
    </row>
    <row r="10">
      <c r="A10" s="18" t="inlineStr">
        <is>
          <t>Rendimento</t>
        </is>
      </c>
      <c r="B10" s="58" t="inlineStr">
        <is>
          <t>ENTRADA</t>
        </is>
      </c>
      <c r="D10" s="18" t="inlineStr">
        <is>
          <t>Débito</t>
        </is>
      </c>
      <c r="F10" s="18" t="n"/>
      <c r="K10" s="18" t="inlineStr">
        <is>
          <t>Maio</t>
        </is>
      </c>
    </row>
    <row r="11">
      <c r="A11" s="18" t="inlineStr">
        <is>
          <t>Empréstimo recebido</t>
        </is>
      </c>
      <c r="B11" s="58" t="inlineStr">
        <is>
          <t>ENTRADA</t>
        </is>
      </c>
      <c r="D11" s="18" t="inlineStr">
        <is>
          <t>Boleto</t>
        </is>
      </c>
      <c r="F11" s="18" t="n"/>
      <c r="K11" s="18" t="inlineStr">
        <is>
          <t>Junho</t>
        </is>
      </c>
    </row>
    <row r="12">
      <c r="A12" s="18" t="inlineStr">
        <is>
          <t>Reembolso</t>
        </is>
      </c>
      <c r="B12" s="58" t="inlineStr">
        <is>
          <t>ENTRADA</t>
        </is>
      </c>
      <c r="D12" s="18" t="n"/>
      <c r="F12" s="18" t="n"/>
      <c r="K12" s="18" t="inlineStr">
        <is>
          <t>Julho</t>
        </is>
      </c>
    </row>
    <row r="13">
      <c r="A13" s="18" t="inlineStr">
        <is>
          <t>Outras entradas</t>
        </is>
      </c>
      <c r="B13" s="58" t="inlineStr">
        <is>
          <t>ENTRADA</t>
        </is>
      </c>
      <c r="D13" s="18" t="n"/>
      <c r="F13" s="18" t="n"/>
      <c r="K13" s="18" t="inlineStr">
        <is>
          <t>Agosto</t>
        </is>
      </c>
    </row>
    <row r="14">
      <c r="A14" s="18" t="inlineStr">
        <is>
          <t>Moradia</t>
        </is>
      </c>
      <c r="B14" s="59" t="inlineStr">
        <is>
          <t>SAÍDA</t>
        </is>
      </c>
      <c r="D14" s="18" t="n"/>
      <c r="K14" s="18" t="inlineStr">
        <is>
          <t>Setembro</t>
        </is>
      </c>
    </row>
    <row r="15">
      <c r="A15" s="18" t="inlineStr">
        <is>
          <t>Alimentação</t>
        </is>
      </c>
      <c r="B15" s="59" t="inlineStr">
        <is>
          <t>SAÍDA</t>
        </is>
      </c>
      <c r="D15" s="18" t="n"/>
      <c r="F15" s="60" t="inlineStr">
        <is>
          <t>Troque "Cartão 1" pelo nome real do seu cartão.</t>
        </is>
      </c>
      <c r="K15" s="18" t="inlineStr">
        <is>
          <t>Outubro</t>
        </is>
      </c>
    </row>
    <row r="16">
      <c r="A16" s="18" t="inlineStr">
        <is>
          <t>Transporte</t>
        </is>
      </c>
      <c r="B16" s="59" t="inlineStr">
        <is>
          <t>SAÍDA</t>
        </is>
      </c>
      <c r="D16" s="18" t="n"/>
      <c r="K16" s="18" t="inlineStr">
        <is>
          <t>Novembro</t>
        </is>
      </c>
    </row>
    <row r="17">
      <c r="A17" s="18" t="inlineStr">
        <is>
          <t>Saúde</t>
        </is>
      </c>
      <c r="B17" s="59" t="inlineStr">
        <is>
          <t>SAÍDA</t>
        </is>
      </c>
      <c r="D17" s="18" t="n"/>
      <c r="K17" s="18" t="inlineStr">
        <is>
          <t>Dezembro</t>
        </is>
      </c>
    </row>
    <row r="18">
      <c r="A18" s="18" t="inlineStr">
        <is>
          <t>Educação</t>
        </is>
      </c>
      <c r="B18" s="59" t="inlineStr">
        <is>
          <t>SAÍDA</t>
        </is>
      </c>
    </row>
    <row r="19">
      <c r="A19" s="18" t="inlineStr">
        <is>
          <t>Lazer</t>
        </is>
      </c>
      <c r="B19" s="59" t="inlineStr">
        <is>
          <t>SAÍDA</t>
        </is>
      </c>
    </row>
    <row r="20">
      <c r="A20" s="18" t="inlineStr">
        <is>
          <t>Vestuário</t>
        </is>
      </c>
      <c r="B20" s="59" t="inlineStr">
        <is>
          <t>SAÍDA</t>
        </is>
      </c>
    </row>
    <row r="21">
      <c r="A21" s="18" t="inlineStr">
        <is>
          <t>Serviços (luz, água, internet)</t>
        </is>
      </c>
      <c r="B21" s="59" t="inlineStr">
        <is>
          <t>SAÍDA</t>
        </is>
      </c>
    </row>
    <row r="22">
      <c r="A22" s="18" t="inlineStr">
        <is>
          <t>Impostos e taxas</t>
        </is>
      </c>
      <c r="B22" s="59" t="inlineStr">
        <is>
          <t>SAÍDA</t>
        </is>
      </c>
    </row>
    <row r="23">
      <c r="A23" s="18" t="inlineStr">
        <is>
          <t>Empréstimo / Financiamento</t>
        </is>
      </c>
      <c r="B23" s="59" t="inlineStr">
        <is>
          <t>SAÍDA</t>
        </is>
      </c>
    </row>
    <row r="24">
      <c r="A24" s="18" t="inlineStr">
        <is>
          <t>Despesas do cartão</t>
        </is>
      </c>
      <c r="B24" s="59" t="inlineStr">
        <is>
          <t>SAÍDA</t>
        </is>
      </c>
    </row>
    <row r="25">
      <c r="A25" s="18" t="inlineStr">
        <is>
          <t>Família</t>
        </is>
      </c>
      <c r="B25" s="59" t="inlineStr">
        <is>
          <t>SAÍDA</t>
        </is>
      </c>
    </row>
    <row r="26">
      <c r="A26" s="18" t="inlineStr">
        <is>
          <t>Manutenção</t>
        </is>
      </c>
      <c r="B26" s="59" t="inlineStr">
        <is>
          <t>SAÍDA</t>
        </is>
      </c>
    </row>
    <row r="27">
      <c r="A27" s="18" t="inlineStr">
        <is>
          <t>Outras saídas</t>
        </is>
      </c>
      <c r="B27" s="59" t="inlineStr">
        <is>
          <t>SAÍDA</t>
        </is>
      </c>
    </row>
    <row r="28">
      <c r="A28" s="18" t="n"/>
      <c r="B28" s="17" t="n"/>
    </row>
    <row r="29">
      <c r="A29" s="18" t="n"/>
      <c r="B29" s="17" t="n"/>
    </row>
    <row r="30">
      <c r="A30" s="18" t="n"/>
      <c r="B30" s="17" t="n"/>
    </row>
    <row r="31">
      <c r="A31" s="18" t="n"/>
      <c r="B31" s="17" t="n"/>
    </row>
    <row r="32">
      <c r="A32" s="18" t="n"/>
      <c r="B32" s="17" t="n"/>
    </row>
    <row r="33">
      <c r="A33" s="18" t="n"/>
      <c r="B33" s="17" t="n"/>
    </row>
    <row r="34">
      <c r="A34" s="18" t="n"/>
      <c r="B34" s="17" t="n"/>
    </row>
    <row r="35">
      <c r="A35" s="18" t="n"/>
      <c r="B35" s="17" t="n"/>
    </row>
    <row r="36">
      <c r="A36" s="18" t="n"/>
      <c r="B36" s="17" t="n"/>
    </row>
    <row r="37">
      <c r="A37" s="18" t="n"/>
      <c r="B37" s="17" t="n"/>
    </row>
    <row r="38">
      <c r="A38" s="18" t="n"/>
      <c r="B38" s="17" t="n"/>
    </row>
    <row r="39">
      <c r="A39" s="18" t="n"/>
      <c r="B39" s="17" t="n"/>
    </row>
    <row r="40">
      <c r="A40" s="18" t="n"/>
      <c r="B40" s="17" t="n"/>
    </row>
    <row r="41">
      <c r="A41" s="18" t="n"/>
      <c r="B41" s="17" t="n"/>
    </row>
    <row r="42">
      <c r="A42" s="18" t="n"/>
      <c r="B42" s="17" t="n"/>
    </row>
    <row r="43">
      <c r="A43" s="18" t="n"/>
      <c r="B43" s="17" t="n"/>
    </row>
    <row r="44">
      <c r="A44" s="18" t="n"/>
      <c r="B44" s="17" t="n"/>
    </row>
    <row r="45">
      <c r="A45" s="18" t="n"/>
      <c r="B45" s="17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2026-09-07T12:58:16Z</dcterms:created>
  <dcterms:modified xsi:type="dcterms:W3CDTF">2026-09-07T12:58:16Z</dcterms:modified>
</cp:coreProperties>
</file>